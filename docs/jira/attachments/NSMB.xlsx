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udget Overview" sheetId="1" r:id="rId4"/>
    <sheet state="visible" name="Expense Heads" sheetId="2" r:id="rId5"/>
    <sheet state="visible" name="App Feature Spec" sheetId="3" r:id="rId6"/>
    <sheet state="visible" name="Plan" sheetId="4" r:id="rId7"/>
    <sheet state="hidden" name="Assumptions &amp; Notes" sheetId="5" r:id="rId8"/>
    <sheet state="hidden" name="Monthly Projection" sheetId="6" r:id="rId9"/>
  </sheets>
  <definedNames/>
  <calcPr/>
  <extLst>
    <ext uri="GoogleSheetsCustomDataVersion2">
      <go:sheetsCustomData xmlns:go="http://customooxmlschemas.google.com/" r:id="rId10" roundtripDataChecksum="iJG6yJiDdaCqHRvaqixWOhBTr9YyjeBRgt2Cf+BQjYs="/>
    </ext>
  </extLst>
</workbook>
</file>

<file path=xl/sharedStrings.xml><?xml version="1.0" encoding="utf-8"?>
<sst xmlns="http://schemas.openxmlformats.org/spreadsheetml/2006/main" count="1033" uniqueCount="591">
  <si>
    <t>ONLINE MILK TRADING BUSINESS - COMPREHENSIVE BUDGET FRAMEWORK</t>
  </si>
  <si>
    <t xml:space="preserve">Business Model: B2C (End Consumers) + B2B (Local Businesses) | Location: Lucknow &amp; Surrounding Areas </t>
  </si>
  <si>
    <t>Category / Head</t>
  </si>
  <si>
    <t>Monthly (₹)</t>
  </si>
  <si>
    <t>Annual (₹)</t>
  </si>
  <si>
    <t>% of Revenue</t>
  </si>
  <si>
    <t>Notes / Assumptions</t>
  </si>
  <si>
    <t>PART A: ONE-TIME SETUP / CAPITAL EXPENDITURE (CAPEX)</t>
  </si>
  <si>
    <t>1. TECHNOLOGY &amp; DIGITAL INFRASTRUCTURE</t>
  </si>
  <si>
    <t>Website Development (E-commerce Platform)</t>
  </si>
  <si>
    <t>Responsive website with payment gateway, product catalog</t>
  </si>
  <si>
    <t>Mobile App Development (Android + iOS)</t>
  </si>
  <si>
    <t>Customer app for ordering, subscription management</t>
  </si>
  <si>
    <t>Admin Dashboard &amp; Backend System</t>
  </si>
  <si>
    <t>Order management, inventory, CRM system</t>
  </si>
  <si>
    <t>Milk Delivery Management Software</t>
  </si>
  <si>
    <t>Route optimization, delivery tracking, subscription mgmt</t>
  </si>
  <si>
    <t>Payment Gateway Integration</t>
  </si>
  <si>
    <t>Razorpay/Paytm integration fees</t>
  </si>
  <si>
    <t>Domain &amp; SSL Certificates</t>
  </si>
  <si>
    <t>Domain registration + SSL for 1 year</t>
  </si>
  <si>
    <t>Cloud Hosting Setup (AWS/Azure)</t>
  </si>
  <si>
    <t>Initial server setup and configuration</t>
  </si>
  <si>
    <t>2. COLD CHAIN &amp; STORAGE INFRASTRUCTURE</t>
  </si>
  <si>
    <t>Cold Storage Facility Setup</t>
  </si>
  <si>
    <t>Walk-in cooler (500-1000 liters capacity)</t>
  </si>
  <si>
    <t>Refrigerated Display Units</t>
  </si>
  <si>
    <t>For any retail/pickup points</t>
  </si>
  <si>
    <t>Milk Chillers &amp; Bulk Coolers</t>
  </si>
  <si>
    <t>Rapid cooling equipment</t>
  </si>
  <si>
    <t>Temperature Monitoring System (IoT)</t>
  </si>
  <si>
    <t>Real-time temp monitoring with alerts</t>
  </si>
  <si>
    <t>Milk Cans &amp; Storage Containers</t>
  </si>
  <si>
    <t>Food-grade SS containers</t>
  </si>
  <si>
    <t>Backup Power (Generator/Inverter)</t>
  </si>
  <si>
    <t>Essential for cold chain continuity</t>
  </si>
  <si>
    <t>3. DELIVERY &amp; LOGISTICS ASSETS</t>
  </si>
  <si>
    <t>Refrigerated Delivery Vehicles (2-3 units)</t>
  </si>
  <si>
    <t>Mini trucks with cooling systems</t>
  </si>
  <si>
    <t>Two-Wheelers with Insulated Boxes (5-8 units)</t>
  </si>
  <si>
    <t>Bikes/scooters for last-mile B2C delivery</t>
  </si>
  <si>
    <t>GPS Tracking Devices</t>
  </si>
  <si>
    <t>Vehicle tracking for fleet management</t>
  </si>
  <si>
    <t>Insulated Delivery Bags/Boxes</t>
  </si>
  <si>
    <t>For maintaining cold chain during delivery</t>
  </si>
  <si>
    <t>Milk Crates &amp; Trays</t>
  </si>
  <si>
    <t>Organized product handling</t>
  </si>
  <si>
    <t>4. OFFICE &amp; WAREHOUSE SETUP</t>
  </si>
  <si>
    <t>Office Furniture &amp; Fixtures</t>
  </si>
  <si>
    <t>Desks, chairs, storage units</t>
  </si>
  <si>
    <t>Computer Systems &amp; Hardware</t>
  </si>
  <si>
    <t>PCs, printers, barcode scanners</t>
  </si>
  <si>
    <t>CCTV &amp; Security Systems</t>
  </si>
  <si>
    <t>Surveillance for warehouse and office</t>
  </si>
  <si>
    <t>Warehouse Racking &amp; Shelving</t>
  </si>
  <si>
    <t>Organized storage systems</t>
  </si>
  <si>
    <t>Weighing Scales (Digital)</t>
  </si>
  <si>
    <t>For accurate measurement</t>
  </si>
  <si>
    <t>Packaging Equipment</t>
  </si>
  <si>
    <t>Sealing machines, labeling equipment</t>
  </si>
  <si>
    <t>5. LEGAL &amp; COMPLIANCE SETUP</t>
  </si>
  <si>
    <t>Company Registration (Pvt Ltd)</t>
  </si>
  <si>
    <t>ROC fees, legal documentation</t>
  </si>
  <si>
    <t>FSSAI License (State/Central)</t>
  </si>
  <si>
    <t>Mandatory for food business</t>
  </si>
  <si>
    <t>GST Registration</t>
  </si>
  <si>
    <t>Professional fees for registration</t>
  </si>
  <si>
    <t>Trade License &amp; Shop Act</t>
  </si>
  <si>
    <t>Local municipal licenses</t>
  </si>
  <si>
    <t>Trademark Registration</t>
  </si>
  <si>
    <t>Brand name protection</t>
  </si>
  <si>
    <t>Legal &amp; Consulting Fees</t>
  </si>
  <si>
    <t>Initial legal setup and agreements</t>
  </si>
  <si>
    <t>6. INITIAL BRANDING &amp; MARKETING</t>
  </si>
  <si>
    <t>Logo &amp; Brand Identity Design</t>
  </si>
  <si>
    <t>Professional branding package</t>
  </si>
  <si>
    <t>Initial Marketing Campaign</t>
  </si>
  <si>
    <t>Launch campaign, digital ads, pamphlets</t>
  </si>
  <si>
    <t>Signage &amp; Branding Materials</t>
  </si>
  <si>
    <t>Vehicle branding, shop boards</t>
  </si>
  <si>
    <t>Packaging Design &amp; Initial Stock</t>
  </si>
  <si>
    <t>Branded packaging materials</t>
  </si>
  <si>
    <t>PART B: RECURRING OPERATING EXPENSES (OPEX) - MONTHLY</t>
  </si>
  <si>
    <t>1. COST OF GOODS SOLD (COGS)</t>
  </si>
  <si>
    <t>Milk Procurement (from Parent Plant)</t>
  </si>
  <si>
    <t>Transfer pricing from parent entity</t>
  </si>
  <si>
    <t>Dairy Products Procurement (Curd, Paneer, Ghee, etc.)</t>
  </si>
  <si>
    <t>Value-added products</t>
  </si>
  <si>
    <t>Packaging Materials (Bottles, Pouches, Cartons)</t>
  </si>
  <si>
    <t>Monthly packaging requirements</t>
  </si>
  <si>
    <t>Wastage &amp; Spoilage (2-3% of COGS)</t>
  </si>
  <si>
    <t>Perishable goods buffer</t>
  </si>
  <si>
    <t>Quality Testing &amp; Lab Expenses</t>
  </si>
  <si>
    <t>Regular quality checks</t>
  </si>
  <si>
    <t>2. PERSONNEL &amp; HR EXPENSES</t>
  </si>
  <si>
    <t>Operations Manager</t>
  </si>
  <si>
    <t>1 person managing daily operations</t>
  </si>
  <si>
    <t>Delivery Staff (8-10 persons)</t>
  </si>
  <si>
    <t>₹16,000-20,000 per delivery boy</t>
  </si>
  <si>
    <t>Customer Service Executive</t>
  </si>
  <si>
    <t>1-2 persons for order support</t>
  </si>
  <si>
    <t>Warehouse Staff</t>
  </si>
  <si>
    <t>2-3 persons for inventory handling</t>
  </si>
  <si>
    <t>Accounts &amp; Admin Staff</t>
  </si>
  <si>
    <t>1-2 persons</t>
  </si>
  <si>
    <t>IT Support (Part-time)</t>
  </si>
  <si>
    <t>Technical maintenance</t>
  </si>
  <si>
    <t>HR &amp; Recruitment Costs</t>
  </si>
  <si>
    <t>Hiring, training costs</t>
  </si>
  <si>
    <t>Staff Welfare &amp; Benefits</t>
  </si>
  <si>
    <t>Insurance, bonuses, uniforms</t>
  </si>
  <si>
    <t>EPF &amp; ESI Contributions</t>
  </si>
  <si>
    <t>Statutory employee benefits</t>
  </si>
  <si>
    <t>3. LOGISTICS &amp; DELIVERY COSTS</t>
  </si>
  <si>
    <t>Fuel &amp; Transportation</t>
  </si>
  <si>
    <t>Petrol/diesel for delivery fleet</t>
  </si>
  <si>
    <t>Vehicle Maintenance &amp; Repairs</t>
  </si>
  <si>
    <t>Regular servicing, repairs</t>
  </si>
  <si>
    <t>Vehicle Insurance</t>
  </si>
  <si>
    <t>Comprehensive insurance for fleet</t>
  </si>
  <si>
    <t>Third-Party Delivery Partners (if any)</t>
  </si>
  <si>
    <t>Dunzo/Swiggy Genie for peak loads</t>
  </si>
  <si>
    <t>Toll &amp; Parking Charges</t>
  </si>
  <si>
    <t>For larger delivery routes</t>
  </si>
  <si>
    <t>Route Optimization Software</t>
  </si>
  <si>
    <t>Monthly subscription</t>
  </si>
  <si>
    <t>4. TECHNOLOGY &amp; DIGITAL EXPENSES</t>
  </si>
  <si>
    <t>Cloud Hosting &amp; Server Costs</t>
  </si>
  <si>
    <t>AWS/Azure monthly charges</t>
  </si>
  <si>
    <t>Software Subscriptions (CRM, ERP)</t>
  </si>
  <si>
    <t>Business management tools</t>
  </si>
  <si>
    <t>Payment Gateway Charges (1.5-2%)</t>
  </si>
  <si>
    <t>Transaction fees on online payments</t>
  </si>
  <si>
    <t>SMS &amp; Communication APIs</t>
  </si>
  <si>
    <t>OTPs, order notifications</t>
  </si>
  <si>
    <t>App Store Fees (Apple/Google)</t>
  </si>
  <si>
    <t>Developer account, updates</t>
  </si>
  <si>
    <t>Website Maintenance</t>
  </si>
  <si>
    <t>Updates, bug fixes, security</t>
  </si>
  <si>
    <t>Cybersecurity &amp; Backup</t>
  </si>
  <si>
    <t>Data protection measures</t>
  </si>
  <si>
    <t>5. MARKETING &amp; CUSTOMER ACQUISITION</t>
  </si>
  <si>
    <t>Digital Marketing (Google/Meta Ads)</t>
  </si>
  <si>
    <t>Paid advertising campaigns</t>
  </si>
  <si>
    <t>Social Media Management</t>
  </si>
  <si>
    <t>Content creation, posting</t>
  </si>
  <si>
    <t>Influencer &amp; Local Marketing</t>
  </si>
  <si>
    <t>Micro-influencers, local promotions</t>
  </si>
  <si>
    <t>Referral &amp; Loyalty Program Costs</t>
  </si>
  <si>
    <t>Customer rewards, cashbacks</t>
  </si>
  <si>
    <t>Promotional Offers &amp; Discounts</t>
  </si>
  <si>
    <t>Launch offers, festive discounts</t>
  </si>
  <si>
    <t>Society/RWA Marketing</t>
  </si>
  <si>
    <t>Pamphlets, society events</t>
  </si>
  <si>
    <t>B2B Sales &amp; Marketing</t>
  </si>
  <si>
    <t>Targeting hotels, restaurants, caterers</t>
  </si>
  <si>
    <t>SEO &amp; Content Marketing</t>
  </si>
  <si>
    <t>Organic traffic generation</t>
  </si>
  <si>
    <t>6. FACILITY &amp; OVERHEAD COSTS</t>
  </si>
  <si>
    <t>Office/Warehouse Rent</t>
  </si>
  <si>
    <t>Space in Lucknow area</t>
  </si>
  <si>
    <t>Electricity &amp; Power</t>
  </si>
  <si>
    <t>Cold storage, office power</t>
  </si>
  <si>
    <t>Water &amp; Utilities</t>
  </si>
  <si>
    <t>General utilities</t>
  </si>
  <si>
    <t>Internet &amp; Telephone</t>
  </si>
  <si>
    <t>Broadband, phone lines</t>
  </si>
  <si>
    <t>Security Services</t>
  </si>
  <si>
    <t>Guard, alarm systems</t>
  </si>
  <si>
    <t>Housekeeping &amp; Maintenance</t>
  </si>
  <si>
    <t>Cleaning, repairs</t>
  </si>
  <si>
    <t>Office Supplies &amp; Consumables</t>
  </si>
  <si>
    <t>Stationery, consumables</t>
  </si>
  <si>
    <t>7. COMPLIANCE &amp; REGULATORY</t>
  </si>
  <si>
    <t>FSSAI Compliance &amp; Audits</t>
  </si>
  <si>
    <t>Regular compliance checks</t>
  </si>
  <si>
    <t>GST Filing &amp; Compliance</t>
  </si>
  <si>
    <t>Monthly/quarterly filings</t>
  </si>
  <si>
    <t>Legal &amp; Professional Fees</t>
  </si>
  <si>
    <t>Ongoing legal support</t>
  </si>
  <si>
    <t>Accounting &amp; Audit Fees</t>
  </si>
  <si>
    <t>CA fees, audit</t>
  </si>
  <si>
    <t>Insurance (Business, Product Liability)</t>
  </si>
  <si>
    <t>Comprehensive business insurance</t>
  </si>
  <si>
    <t>Environmental Compliance</t>
  </si>
  <si>
    <t>Waste management, disposal</t>
  </si>
  <si>
    <t>8. FINANCIAL COSTS</t>
  </si>
  <si>
    <t>Bank Charges &amp; Transaction Fees</t>
  </si>
  <si>
    <t>Account maintenance, transfers</t>
  </si>
  <si>
    <t>Working Capital Interest (if any)</t>
  </si>
  <si>
    <t>Short-term financing costs</t>
  </si>
  <si>
    <t>Credit/Bad Debt Provision (B2B)</t>
  </si>
  <si>
    <t>Allowance for delayed/non-payments</t>
  </si>
  <si>
    <t>Currency/Price Fluctuation Buffer</t>
  </si>
  <si>
    <t>Commodity price variations</t>
  </si>
  <si>
    <t>9. MISCELLANEOUS &amp; CONTINGENCY</t>
  </si>
  <si>
    <t>Travel &amp; Conveyance</t>
  </si>
  <si>
    <t>Local travel, meetings</t>
  </si>
  <si>
    <t>Training &amp; Development</t>
  </si>
  <si>
    <t>Staff training programs</t>
  </si>
  <si>
    <t>Subscription &amp; Memberships</t>
  </si>
  <si>
    <t>Industry associations</t>
  </si>
  <si>
    <t>Contingency Fund (5% of OPEX)</t>
  </si>
  <si>
    <t>Emergency buffer</t>
  </si>
  <si>
    <t>PART C: REVENUE STREAMS &amp; INCOME HEADS</t>
  </si>
  <si>
    <t>1. B2C REVENUE (DIRECT TO CONSUMER)</t>
  </si>
  <si>
    <t>Fresh Milk Sales (Daily Subscriptions)</t>
  </si>
  <si>
    <t>Core product - daily home delivery</t>
  </si>
  <si>
    <t>Fresh Milk Sales (On-Demand Orders)</t>
  </si>
  <si>
    <t>One-time/occasional orders</t>
  </si>
  <si>
    <t>Toned Milk Sales</t>
  </si>
  <si>
    <t>Budget-friendly variant</t>
  </si>
  <si>
    <t>Full Cream Milk Sales</t>
  </si>
  <si>
    <t>Premium variant</t>
  </si>
  <si>
    <t>A2 Milk Sales (Premium)</t>
  </si>
  <si>
    <t>Health-conscious segment</t>
  </si>
  <si>
    <t>Organic/Farm Fresh Milk (Premium)</t>
  </si>
  <si>
    <t>Premium organic segment</t>
  </si>
  <si>
    <t>Flavored Milk (Chocolate, Badam, etc.)</t>
  </si>
  <si>
    <t>Value-added product</t>
  </si>
  <si>
    <t>Buttermilk/Lassi/Chaach Sales</t>
  </si>
  <si>
    <t>Traditional beverages</t>
  </si>
  <si>
    <t>Curd/Dahi Sales</t>
  </si>
  <si>
    <t>Daily consumption item</t>
  </si>
  <si>
    <t>Paneer Sales</t>
  </si>
  <si>
    <t>High-margin product</t>
  </si>
  <si>
    <t>Ghee Sales</t>
  </si>
  <si>
    <t>Premium traditional product</t>
  </si>
  <si>
    <t>Butter Sales</t>
  </si>
  <si>
    <t>Table butter, cooking butter</t>
  </si>
  <si>
    <t>Cheese &amp; Cheese Products</t>
  </si>
  <si>
    <t>Processed cheese, spreads</t>
  </si>
  <si>
    <t>Khoya/Mawa Sales (Seasonal)</t>
  </si>
  <si>
    <t>Festival season peaks</t>
  </si>
  <si>
    <t>Dairy Sweets (Seasonal)</t>
  </si>
  <si>
    <t>Festive products</t>
  </si>
  <si>
    <t>Ice Cream &amp; Frozen Desserts</t>
  </si>
  <si>
    <t>Summer seasonal boost</t>
  </si>
  <si>
    <t>2. B2B REVENUE (BUSINESS CUSTOMERS)</t>
  </si>
  <si>
    <t>Hotels &amp; Restaurants (HoReCa)</t>
  </si>
  <si>
    <t>Bulk daily supply</t>
  </si>
  <si>
    <t>Tea Stalls &amp; Chai Vendors</t>
  </si>
  <si>
    <t>Regular bulk orders</t>
  </si>
  <si>
    <t>Sweet Shops &amp; Bakeries</t>
  </si>
  <si>
    <t>Milk, paneer, ghee supply</t>
  </si>
  <si>
    <t>Caterers &amp; Event Companies</t>
  </si>
  <si>
    <t>Event-based bulk orders</t>
  </si>
  <si>
    <t>Educational Institutions (Schools, Hostels)</t>
  </si>
  <si>
    <t>Daily milk supply contracts</t>
  </si>
  <si>
    <t>Corporate Offices &amp; Canteens</t>
  </si>
  <si>
    <t>Office milk supply</t>
  </si>
  <si>
    <t>Small Grocery Stores (Retail)</t>
  </si>
  <si>
    <t>Wholesale to retailers</t>
  </si>
  <si>
    <t>Hospitals &amp; Healthcare Facilities</t>
  </si>
  <si>
    <t>Medical nutrition</t>
  </si>
  <si>
    <t>3. OTHER REVENUE STREAMS</t>
  </si>
  <si>
    <t>Delivery Charges (B2C)</t>
  </si>
  <si>
    <t>Express delivery, distance-based fees</t>
  </si>
  <si>
    <t>Subscription Premium/Membership Fees</t>
  </si>
  <si>
    <t>Priority delivery, exclusive offers</t>
  </si>
  <si>
    <t>Packaging Deposit (Refundable Glass Bottles)</t>
  </si>
  <si>
    <t>Eco-friendly initiative</t>
  </si>
  <si>
    <t>Late Payment Fees (B2B)</t>
  </si>
  <si>
    <t>Penalty for delayed payments</t>
  </si>
  <si>
    <t>Advertising Income (App/Website)</t>
  </si>
  <si>
    <t>Partner brand promotions</t>
  </si>
  <si>
    <t>Affiliate/Referral Commissions</t>
  </si>
  <si>
    <t>Partner product referrals</t>
  </si>
  <si>
    <t>Interest on Prepaid Subscriptions</t>
  </si>
  <si>
    <t>Float on advance payments</t>
  </si>
  <si>
    <t>Sale of By-products (Whey, etc.)</t>
  </si>
  <si>
    <t>Processing by-products</t>
  </si>
  <si>
    <t>Seasonal/Festival Special Products</t>
  </si>
  <si>
    <t>Diwali, Holi special items</t>
  </si>
  <si>
    <t>Corporate Gifting (Dairy Hampers)</t>
  </si>
  <si>
    <t>B2B gifting solutions</t>
  </si>
  <si>
    <t>4. SUBSIDIES &amp; INCENTIVES</t>
  </si>
  <si>
    <t>Government Dairy Subsidies</t>
  </si>
  <si>
    <t>State dairy development schemes</t>
  </si>
  <si>
    <t>Cold Chain Subsidy (NHB/NABARD)</t>
  </si>
  <si>
    <t>Infrastructure subsidies</t>
  </si>
  <si>
    <t>Startup India Benefits</t>
  </si>
  <si>
    <t>Tax benefits, grants</t>
  </si>
  <si>
    <t>MSME Registration Benefits</t>
  </si>
  <si>
    <t>Preferential rates, schemes</t>
  </si>
  <si>
    <t>PART D: BUDGET SUMMARY &amp; KEY METRICS</t>
  </si>
  <si>
    <t>CAPITAL EXPENDITURE SUMMARY</t>
  </si>
  <si>
    <t>Technology &amp; Digital Infrastructure</t>
  </si>
  <si>
    <t>One-time tech setup</t>
  </si>
  <si>
    <t>Cold Chain &amp; Storage Infrastructure</t>
  </si>
  <si>
    <t>Cold storage setup</t>
  </si>
  <si>
    <t>Delivery &amp; Logistics Assets</t>
  </si>
  <si>
    <t>Vehicle and delivery equipment</t>
  </si>
  <si>
    <t>Office &amp; Warehouse Setup</t>
  </si>
  <si>
    <t>Office infrastructure</t>
  </si>
  <si>
    <t>Legal &amp; Compliance Setup</t>
  </si>
  <si>
    <t>Legal and licensing</t>
  </si>
  <si>
    <t>Initial Branding &amp; Marketing</t>
  </si>
  <si>
    <t>Brand launch</t>
  </si>
  <si>
    <t>TOTAL CAPEX</t>
  </si>
  <si>
    <t>Total one-time investment required</t>
  </si>
  <si>
    <t>OPERATING EXPENSES SUMMARY (ANNUAL)</t>
  </si>
  <si>
    <t>Cost of Goods Sold</t>
  </si>
  <si>
    <t>Direct product costs</t>
  </si>
  <si>
    <t>Personnel &amp; HR Expenses</t>
  </si>
  <si>
    <t>Staffing costs</t>
  </si>
  <si>
    <t>Logistics &amp; Delivery Costs</t>
  </si>
  <si>
    <t>Delivery operations</t>
  </si>
  <si>
    <t>Technology &amp; Digital Expenses</t>
  </si>
  <si>
    <t>Tech running costs</t>
  </si>
  <si>
    <t>Marketing &amp; Customer Acquisition</t>
  </si>
  <si>
    <t>Growth marketing</t>
  </si>
  <si>
    <t>Facility &amp; Overhead Costs</t>
  </si>
  <si>
    <t>Premises costs</t>
  </si>
  <si>
    <t>Compliance &amp; Regulatory</t>
  </si>
  <si>
    <t>Regulatory costs</t>
  </si>
  <si>
    <t>Financial Costs</t>
  </si>
  <si>
    <t>Banking, interest</t>
  </si>
  <si>
    <t>Miscellaneous &amp; Contingency</t>
  </si>
  <si>
    <t>Buffer and misc</t>
  </si>
  <si>
    <t>TOTAL ANNUAL OPEX</t>
  </si>
  <si>
    <t>Total annual operating expenses</t>
  </si>
  <si>
    <t>REVENUE SUMMARY (ANNUAL)</t>
  </si>
  <si>
    <t>B2C Revenue (Direct to Consumer)</t>
  </si>
  <si>
    <t>Consumer sales</t>
  </si>
  <si>
    <t>B2B Revenue (Business Customers)</t>
  </si>
  <si>
    <t>Business sales</t>
  </si>
  <si>
    <t>Other Revenue Streams</t>
  </si>
  <si>
    <t>Ancillary income</t>
  </si>
  <si>
    <t>Subsidies &amp; Incentives</t>
  </si>
  <si>
    <t>Government support</t>
  </si>
  <si>
    <t>TOTAL ANNUAL REVENUE</t>
  </si>
  <si>
    <t>Total projected revenue</t>
  </si>
  <si>
    <t>KEY FINANCIAL METRICS</t>
  </si>
  <si>
    <t>Gross Profit</t>
  </si>
  <si>
    <t>Revenue minus COGS</t>
  </si>
  <si>
    <t>Operating Profit (EBITDA)</t>
  </si>
  <si>
    <t>Revenue minus all OPEX</t>
  </si>
  <si>
    <t>Operating Margin %</t>
  </si>
  <si>
    <t>EBITDA as % of Revenue</t>
  </si>
  <si>
    <t>Breakeven Revenue Required</t>
  </si>
  <si>
    <t>OPEX = Breakeven point</t>
  </si>
  <si>
    <t>CAPEX Payback Period (Years)</t>
  </si>
  <si>
    <t>Years to recover investment</t>
  </si>
  <si>
    <t>Customer Acquisition Cost (Est.)</t>
  </si>
  <si>
    <t>Marketing spend / new customers</t>
  </si>
  <si>
    <t>IS REQUIRED for Y1 ?</t>
  </si>
  <si>
    <t>Budgeted Amount</t>
  </si>
  <si>
    <t>Remarks</t>
  </si>
  <si>
    <t>Yes</t>
  </si>
  <si>
    <t>No</t>
  </si>
  <si>
    <t>Omni with cooling systems</t>
  </si>
  <si>
    <t>Mandatory for food business (Need to check if this is required as we are just trading and not manufacturing)</t>
  </si>
  <si>
    <t xml:space="preserve">Delivery Staff </t>
  </si>
  <si>
    <t>₹16,000 per delivery boy</t>
  </si>
  <si>
    <t>Hotels &amp; Restaurants</t>
  </si>
  <si>
    <t>Tea Stalls &amp; Tea Vendors</t>
  </si>
  <si>
    <t>Sale of By-products</t>
  </si>
  <si>
    <t>MILK DELIVERY MOBILE APP — DETAILED FEATURE SPECIFICATION</t>
  </si>
  <si>
    <t>Platform: Android + iOS  |  Scope: B2C Consumer App (with hooks for B2B &amp; Inventory)  |  Business: Online Milk &amp; Dairy Trading</t>
  </si>
  <si>
    <t>#</t>
  </si>
  <si>
    <t>Feature (High-Level)</t>
  </si>
  <si>
    <t>Module / Screen</t>
  </si>
  <si>
    <t>Detailed Description &amp; Functional Requirements</t>
  </si>
  <si>
    <t>Key Dependencies / Integrations</t>
  </si>
  <si>
    <t>Priority</t>
  </si>
  <si>
    <t>User Registration</t>
  </si>
  <si>
    <t>Onboarding / Sign-Up</t>
  </si>
  <si>
    <t>Allow new customers to create an account via mobile number + OTP verification (primary), with optional email/social (Google/Apple) sign-up. Capture name, delivery address (with geo-pin/map picker), pincode serviceability check, and preferred delivery time slot. Support multiple saved addresses. Consent for T&amp;C, privacy policy, and notifications. Auto-create a linked Wallet on registration.</t>
  </si>
  <si>
    <t>OTP/SMS API, Maps/Geocoding, Serviceability (Inventory zones), Wallet service</t>
  </si>
  <si>
    <t>Must-Have</t>
  </si>
  <si>
    <t>User Login</t>
  </si>
  <si>
    <t>Authentication</t>
  </si>
  <si>
    <t>Secure login via mobile number + OTP or password; social login options. 'Remember me' with token/JWT-based session, biometric login (fingerprint/Face ID), forgot-password/OTP re-verification, and secure logout. Session timeout and multi-device handling. Role awareness (B2C vs B2B account).</t>
  </si>
  <si>
    <t>OTP/SMS API, Auth server (JWT), Biometric SDK</t>
  </si>
  <si>
    <t>Product Listing (Inventory-driven)</t>
  </si>
  <si>
    <t>Catalog / Home</t>
  </si>
  <si>
    <t>Display products (milk variants, curd, paneer, ghee, etc.) grouped by category with images, price, unit (ltr/gm), description, and real-time stock/availability pulled from the Inventory Module. Show 'Out of Stock' / 'Available from &lt;date&gt;' states, search, filters (category, price, veg/organic), and sort. Highlight subscription-eligible items.</t>
  </si>
  <si>
    <t>Inventory Module (live stock), CDN for images, Search service</t>
  </si>
  <si>
    <t>Add to Cart</t>
  </si>
  <si>
    <t>Cart</t>
  </si>
  <si>
    <t>Add/remove items, adjust quantities with min/max validation against stock, view running subtotal, applicable taxes and delivery charge preview. Persist cart across sessions and devices. Distinguish one-time order items vs subscription items. Show savings from offers/coupons applied. Empty-cart and re-order-from-history shortcuts.</t>
  </si>
  <si>
    <t>Inventory (stock check), Pricing/Tax engine, Offers module</t>
  </si>
  <si>
    <t>Checkout / Payments</t>
  </si>
  <si>
    <t>Integrate Razorpay/Paytm supporting UPI, cards, net-banking, and Wallet. Support wallet-first + gateway top-up for balance shortfall. Handle payment success/failure/pending callbacks, retries, and idempotency to avoid double charges. PCI-DSS compliant tokenization for saved cards. Generate payment reference for reconciliation.</t>
  </si>
  <si>
    <t>Payment Gateway (Razorpay/Paytm), Wallet, Accounting/Reconciliation</t>
  </si>
  <si>
    <t>Subscription Module (Start / Stop / Pause)</t>
  </si>
  <si>
    <t>Subscriptions</t>
  </si>
  <si>
    <t>Create recurring milk/dairy subscriptions with product, quantity, frequency (daily/alternate/weekly/custom days), start date, and preferred slot. Actions: Start (activate), Pause (vacation hold with date range), Resume, Stop/Cancel. Auto-generate daily orders, auto-debit from Wallet, low-balance alerts, and skip-a-day option. Edit quantity/schedule with cut-off time enforcement.</t>
  </si>
  <si>
    <t>Wallet (auto-debit), Inventory, Notifications, Calendar, Order engine</t>
  </si>
  <si>
    <t>Order History</t>
  </si>
  <si>
    <t>Account / Orders</t>
  </si>
  <si>
    <t>Chronological list of all past and upcoming orders (one-time + subscription-generated) with date, items, amount, status, and delivery slot. Filters by date range, status, and type. Tap into full order detail, re-order, download invoice, and raise feedback/complaint from any order.</t>
  </si>
  <si>
    <t>Order engine, Invoice service</t>
  </si>
  <si>
    <t>Transaction History</t>
  </si>
  <si>
    <t>Wallet / Payments</t>
  </si>
  <si>
    <t>Ledger of all financial transactions: wallet recharges, order debits, refunds, cashbacks, referral credits, and offer adjustments. Show running balance, transaction type, timestamp, reference ID, and status. Filter/search and export/share statement. Reconcile with payment gateway records.</t>
  </si>
  <si>
    <t>Wallet, Payment Gateway, Accounting</t>
  </si>
  <si>
    <t>Feedback (Delivery / Product Quality)</t>
  </si>
  <si>
    <t>Feedback / Ratings</t>
  </si>
  <si>
    <t>Allow rating (1-5 stars) and comments on delivery experience and product quality per order/delivery. Predefined issue tags (late delivery, spillage, quality, packaging), photo upload for complaints, and resolution tracking. Feed into quality dashboards and delivery-staff performance.</t>
  </si>
  <si>
    <t>Order engine, Media upload, CRM/Support</t>
  </si>
  <si>
    <t>Should-Have</t>
  </si>
  <si>
    <t>Offers</t>
  </si>
  <si>
    <t>Promotions</t>
  </si>
  <si>
    <t>Show active offers, coupons, and promo codes with T&amp;C, validity, and eligibility. Auto-apply best offer or manual code entry at checkout with real-time validation. Support percentage/flat/BOGO/first-order/subscription-specific offers and festive campaigns. Personalized offer banners on home.</t>
  </si>
  <si>
    <t>Pricing/Offers engine, Notifications, CRM</t>
  </si>
  <si>
    <t>Referrals</t>
  </si>
  <si>
    <t>Growth / Referral</t>
  </si>
  <si>
    <t>Unique referral code/link per user with share via WhatsApp/SMS/social. Reward both referrer and referee (wallet credit/discount) on referee's first successful order. Track referral status (invited, joined, rewarded), anti-abuse checks, and referral leaderboard/history.</t>
  </si>
  <si>
    <t>Wallet, Deep-linking, CRM, Fraud checks</t>
  </si>
  <si>
    <t>Calendar View (Date-based Ordering)</t>
  </si>
  <si>
    <t>Ordering / Calendar</t>
  </si>
  <si>
    <t>Interactive calendar to select specific date(s) for one-time or scheduled orders and to visualize subscription deliveries. Mark holidays/non-serviceable days, apply cut-off time for next-day delivery, and allow multi-date selection for advance orders. Sync with subscription pause/skip.</t>
  </si>
  <si>
    <t>Order engine, Subscription, Serviceability calendar</t>
  </si>
  <si>
    <t>Order Cancellation</t>
  </si>
  <si>
    <t>Orders</t>
  </si>
  <si>
    <t>Cancel one-time orders or individual subscription deliveries before the daily cut-off time. Show cancellation policy, eligible refund (full/partial) to Wallet, and reason capture. Auto-restore stock to Inventory and notify user. Block cancellation post cut-off with clear messaging.</t>
  </si>
  <si>
    <t>Order engine, Wallet (refund), Inventory, Notifications</t>
  </si>
  <si>
    <t>Wallet Recharge</t>
  </si>
  <si>
    <t>Wallet</t>
  </si>
  <si>
    <t>Prepaid wallet top-up via payment gateway with suggested amounts and custom entry. Apply recharge offers/cashback, low-balance auto-recharge option, and instant balance update. Secure, idempotent crediting with transaction record. Used as primary payment source for subscriptions.</t>
  </si>
  <si>
    <t>Payment Gateway, Transaction ledger, Offers</t>
  </si>
  <si>
    <t>Order Confirmation / Preview</t>
  </si>
  <si>
    <t>Checkout</t>
  </si>
  <si>
    <t>Pre-payment review screen summarizing items, quantities, delivery address, slot/date, price breakup (subtotal, GST, delivery fee, discounts, offers, wallet used, net payable). Edit before confirming. On confirm, place order, deduct payment, and show success screen with order ID and ETA.</t>
  </si>
  <si>
    <t>Pricing/Tax engine, Offers, Wallet, Order engine</t>
  </si>
  <si>
    <t>Order Details</t>
  </si>
  <si>
    <t>Full detail of a single order: items with images/qty/price, itemized charges, delivery address &amp; slot, assigned delivery partner (if available), payment method, invoice link, and action buttons (cancel, reorder, feedback, support).</t>
  </si>
  <si>
    <t>Order engine, Invoice, Delivery tracking</t>
  </si>
  <si>
    <t>Order Status</t>
  </si>
  <si>
    <t>Tracking</t>
  </si>
  <si>
    <t>Real-time status lifecycle: Placed → Confirmed → Packed → Out for Delivery → Delivered (or Cancelled/Failed). Push/SMS notifications on each transition, optional live delivery tracking/ETA, and delivery proof (OTP/photo). Status visible in order list and detail.</t>
  </si>
  <si>
    <t>Order engine, Delivery/Logistics, Notifications, Maps</t>
  </si>
  <si>
    <t>Inventory Module Integration</t>
  </si>
  <si>
    <t>Backend Integration</t>
  </si>
  <si>
    <t>Real-time, two-way sync between app and Inventory: fetch live stock &amp; availability for listing/cart, reserve stock on order, decrement on confirmation, and restore on cancellation. Handle stock-outs gracefully, batch/expiry awareness for perishables, and prevent overselling.</t>
  </si>
  <si>
    <t>Inventory Module (APIs), Order engine</t>
  </si>
  <si>
    <t>Invoice Generation (GST, Discounts, Offers)</t>
  </si>
  <si>
    <t>Billing / Invoice</t>
  </si>
  <si>
    <t>Generate GST-compliant tax invoice per order after applying discounts and offers: line items, HSN codes, taxable value, CGST/SGST/IGST, discounts, offer adjustments, wallet used, and net payable. Sequential invoice numbering, PDF download/share, and accounting-system feed for reconciliation.</t>
  </si>
  <si>
    <t>Pricing/Tax engine, Accounting, PDF service, Offers</t>
  </si>
  <si>
    <t>ADMIN / BACK-OFFICE FEATURES (Management Console)</t>
  </si>
  <si>
    <t>Enable / Disable User Account</t>
  </si>
  <si>
    <t>Admin / User Management</t>
  </si>
  <si>
    <t>Admin ability to activate, deactivate (soft-block), suspend, or reactivate any customer/B2B account. Deactivation instantly blocks login, pauses active subscriptions, and halts auto-debits while preserving history and wallet balance. Capture reason, effective date, and admin audit trail. Bulk enable/disable and search/filter by status, KYC, or risk flags. Optional auto-disable on repeated failed payments or fraud signals.</t>
  </si>
  <si>
    <t>Auth server, Subscription engine, Wallet, Audit log</t>
  </si>
  <si>
    <t>View Recharge / Transaction Status</t>
  </si>
  <si>
    <t>Admin / Payments &amp; Wallet</t>
  </si>
  <si>
    <t>Consolidated admin view of all wallet recharges and transactions with status (Success / Pending / Failed / Refunded), amount, method (UPI/card/net-banking), gateway reference, timestamp, and linked user/order. Filter by date, status, user, and payment method; drill into a single transaction, trigger manual reconciliation, force-refund, or re-verify pending payments against the gateway. Export/download statements for accounting.</t>
  </si>
  <si>
    <t>Payment Gateway, Wallet, Transaction ledger, Accounting</t>
  </si>
  <si>
    <t>Management Reporting Suite</t>
  </si>
  <si>
    <t>Admin / Reports &amp; Analytics</t>
  </si>
  <si>
    <t>Dashboard + downloadable reports for management decision-making. Proposed reports: (1) Daily/Monthly Sales &amp; Revenue (B2C vs B2B, one-time vs subscription); (2) Subscription Analytics (active/paused/stopped, churn, retention, MRR); (3) Delivery Performance (on-time %, failed/returned, per delivery-staff productivity); (4) Inventory &amp; Wastage (stock movement, spoilage %, stock-outs); (5) Customer Analytics (new vs repeat, AOV, top customers, geography/pincode heatmap); (6) Payments &amp; Wallet (recharge trends, refunds, pending, gateway reconciliation); (7) Offers/Referrals ROI; (8) Complaints/Feedback (issue tags, resolution SLA). Each report supports date-range filters, charts, drill-down, scheduling (auto-email), and PDF/Excel export.</t>
  </si>
  <si>
    <t>Order engine, Subscription, Inventory, Wallet, CRM, BI/Analytics service</t>
  </si>
  <si>
    <t>Product &amp; Catalog Management</t>
  </si>
  <si>
    <t>Admin / Catalog</t>
  </si>
  <si>
    <t>Create, edit, activate/deactivate products; manage categories, images, units, descriptions, pricing tiers (B2C/B2B), taxes/HSN, and subscription eligibility. Schedule price changes and bulk import/export via CSV. Sync with Inventory for live stock.</t>
  </si>
  <si>
    <t>Inventory, Pricing/Tax engine, CDN</t>
  </si>
  <si>
    <t>Order &amp; Subscription Management</t>
  </si>
  <si>
    <t>Admin / Operations</t>
  </si>
  <si>
    <t>View, edit, reassign, or cancel any order/subscription on behalf of a customer. Override cut-off times, force stock reservation, reschedule deliveries, and handle escalations. Manage vacation-hold requests and mass pause/resume for outages or holidays.</t>
  </si>
  <si>
    <t>Order engine, Subscription, Inventory, Notifications</t>
  </si>
  <si>
    <t>Delivery &amp; Route Management</t>
  </si>
  <si>
    <t>Admin / Logistics</t>
  </si>
  <si>
    <t>Assign daily delivery runs to staff/vehicles, optimize routes, track live delivery status, and reassign on the fly. Monitor per-agent load, delays, and delivery proof (OTP/photo). Manage serviceable pincodes/zones and non-serviceable/holiday calendar.</t>
  </si>
  <si>
    <t>Delivery/Logistics, Maps, Serviceability, Order engine</t>
  </si>
  <si>
    <t>Offer, Coupon &amp; Referral Management</t>
  </si>
  <si>
    <t>Admin / Promotions</t>
  </si>
  <si>
    <t>Create and manage offers, coupons, promo codes, and referral reward rules with validity, eligibility, usage caps, and budgets. Enable/disable campaigns instantly, monitor redemption, cost, and ROI, and detect referral/coupon abuse.</t>
  </si>
  <si>
    <t>Pricing/Offers engine, CRM, Fraud checks</t>
  </si>
  <si>
    <t>Customer Support / CRM &amp; Complaint Desk</t>
  </si>
  <si>
    <t>Admin / Support</t>
  </si>
  <si>
    <t>Ticketing for complaints and feedback with issue tags, SLA timers, assignment, and resolution tracking. Access full customer 360° view (orders, wallet, subscriptions, tickets). Issue goodwill wallet credits/refunds with approval workflow and notify customers.</t>
  </si>
  <si>
    <t>CRM/Support, Order engine, Wallet, Notifications</t>
  </si>
  <si>
    <t>Role-Based Access Control (RBAC) &amp; Admin Users</t>
  </si>
  <si>
    <t>Admin / Security</t>
  </si>
  <si>
    <t>Create admin/staff sub-accounts with granular, role-based permissions (Ops, Finance, Support, Marketing, Super-Admin). Enforce least-privilege access, maintain full audit logs of admin actions, support 2FA for admin login, and manage session/IP restrictions.</t>
  </si>
  <si>
    <t>Auth server (JWT/2FA), Audit log</t>
  </si>
  <si>
    <t>Inventory &amp; Procurement Control</t>
  </si>
  <si>
    <t>Admin / Inventory</t>
  </si>
  <si>
    <t>Admin oversight of stock: manual adjustments, batch/expiry tracking, reorder alerts, wastage/spoilage logging, and stock reconciliation. Manage procurement from the parent plant and record inward/outward movements with audit trail.</t>
  </si>
  <si>
    <t>Inventory Module, Accounting, Order engine</t>
  </si>
  <si>
    <t>Notification &amp; Communication Manager</t>
  </si>
  <si>
    <t>Admin / Engagement</t>
  </si>
  <si>
    <t>Compose and schedule push/SMS/email/WhatsApp campaigns and transactional templates. Target segments (subscribers, lapsed, B2B), manage OTP/order-status templates, and view delivery/open metrics with opt-out compliance.</t>
  </si>
  <si>
    <t>Notifications (Push/SMS/Email/WhatsApp), CRM</t>
  </si>
  <si>
    <t>Could-Have</t>
  </si>
  <si>
    <t>System Configuration &amp; Audit Log</t>
  </si>
  <si>
    <t>Admin / Settings</t>
  </si>
  <si>
    <t>Central settings for delivery slots, cut-off times, delivery/GST charges, serviceable zones, wallet rules, and business parameters. Immutable audit log of all critical changes (who/what/when) and data-export/backup controls for compliance.</t>
  </si>
  <si>
    <t>All backend services, Audit log, Accounting</t>
  </si>
  <si>
    <t>KEY ASSUMPTIONS &amp; IMPORTANT NOTES</t>
  </si>
  <si>
    <t>BUSINESS MODEL ASSUMPTIONS</t>
  </si>
  <si>
    <t>Target Market</t>
  </si>
  <si>
    <t>Lucknow city + 20km radius</t>
  </si>
  <si>
    <t>B2C:B2B Revenue Split</t>
  </si>
  <si>
    <t>60:40 initially, moving to 50:50</t>
  </si>
  <si>
    <t>Customer Base Target (Year 1)</t>
  </si>
  <si>
    <t>500-1000 B2C households + 50 B2B clients</t>
  </si>
  <si>
    <t>Average Order Value (B2C)</t>
  </si>
  <si>
    <t>₹80-120 per day</t>
  </si>
  <si>
    <t>Average Order Value (B2B)</t>
  </si>
  <si>
    <t>₹2,000-5,000 per order</t>
  </si>
  <si>
    <t>Subscription Model</t>
  </si>
  <si>
    <t>70% subscribers, 30% on-demand</t>
  </si>
  <si>
    <t>Delivery Frequency</t>
  </si>
  <si>
    <t>Daily for subscriptions, same-day for orders</t>
  </si>
  <si>
    <t>Payment Terms (B2B)</t>
  </si>
  <si>
    <t>7-15 days credit, Wallet ?</t>
  </si>
  <si>
    <t>MARGIN ASSUMPTIONS</t>
  </si>
  <si>
    <t>Gross Margin on Milk</t>
  </si>
  <si>
    <t>8-10%</t>
  </si>
  <si>
    <t>Gross Margin on Value-Added Products</t>
  </si>
  <si>
    <t>20-25%</t>
  </si>
  <si>
    <t>B2B Margin (Lower due to bulk)</t>
  </si>
  <si>
    <t>10-15%</t>
  </si>
  <si>
    <t>Wastage/Spoilage Rate</t>
  </si>
  <si>
    <t>2-3%</t>
  </si>
  <si>
    <t>Payment Gateway Commission</t>
  </si>
  <si>
    <t>1.5-2%</t>
  </si>
  <si>
    <t>OPERATIONAL ASSUMPTIONS</t>
  </si>
  <si>
    <t>Delivery Staff Productivity</t>
  </si>
  <si>
    <t>30-40 deliveries per person per day</t>
  </si>
  <si>
    <t>Cold Storage Capacity Utilization</t>
  </si>
  <si>
    <t>70-80%</t>
  </si>
  <si>
    <t>Vehicle Utilization</t>
  </si>
  <si>
    <t>2 delivery cycles per day</t>
  </si>
  <si>
    <t>GROWTH ASSUMPTIONS</t>
  </si>
  <si>
    <t>Year 1 Revenue Target</t>
  </si>
  <si>
    <t>Year 2 Revenue Target</t>
  </si>
  <si>
    <t>Year 3 Revenue Target</t>
  </si>
  <si>
    <t>Monthly Customer Growth Rate</t>
  </si>
  <si>
    <t>%</t>
  </si>
  <si>
    <t>Customer Retention Rate Target</t>
  </si>
  <si>
    <t>CRITICAL SUCCESS FACTORS</t>
  </si>
  <si>
    <t>1. Cold Chain Integrity</t>
  </si>
  <si>
    <t>Maintain 2-8°C throughout delivery</t>
  </si>
  <si>
    <t>2. Delivery Timing</t>
  </si>
  <si>
    <t>Before 7 AM for morning subscriptions</t>
  </si>
  <si>
    <t>3. Product Quality</t>
  </si>
  <si>
    <t>Consistent quality from parent plant</t>
  </si>
  <si>
    <t>4. Customer Service</t>
  </si>
  <si>
    <t>Quick resolution of complaints</t>
  </si>
  <si>
    <t>5. Technology Reliability</t>
  </si>
  <si>
    <t>99.5%+ app uptime</t>
  </si>
  <si>
    <t>REGULATORY REQUIREMENTS</t>
  </si>
  <si>
    <t>FSSAI License</t>
  </si>
  <si>
    <t>Mandatory - State/Central based on turnover</t>
  </si>
  <si>
    <t>Trade License</t>
  </si>
  <si>
    <t>Municipal corporation license</t>
  </si>
  <si>
    <t>Vehicle Permits</t>
  </si>
  <si>
    <t>Commercial vehicle registration</t>
  </si>
  <si>
    <t>Food Safety Training</t>
  </si>
  <si>
    <t>Staff training/certification</t>
  </si>
  <si>
    <t>Cold Storage Standards</t>
  </si>
  <si>
    <t>FSSAI cold chain compliance</t>
  </si>
  <si>
    <t>RISK FACTORS TO CONSIDER</t>
  </si>
  <si>
    <t>Seasonal Demand Fluctuation</t>
  </si>
  <si>
    <t>Competition from Competitors</t>
  </si>
  <si>
    <t>Supply Chain Disruption</t>
  </si>
  <si>
    <t>Credit Risk (B2B)</t>
  </si>
  <si>
    <t>Technology Failures</t>
  </si>
  <si>
    <t>Regulatory Changes</t>
  </si>
  <si>
    <t>Fuel Price Volatility</t>
  </si>
  <si>
    <t xml:space="preserve">BREAKEVEN ANALYSIS </t>
  </si>
  <si>
    <t>Fixed Costs (Approx.)</t>
  </si>
  <si>
    <t>Variable Cost per Liter</t>
  </si>
  <si>
    <t>Selling Price per Liter (Avg)</t>
  </si>
  <si>
    <t>Contribution Margin per Liter</t>
  </si>
  <si>
    <t>Breakeven Volume</t>
  </si>
  <si>
    <t>12-MONTH CASH FLOW PROJECTION (YEAR 1)</t>
  </si>
  <si>
    <t>Particulars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</si>
  <si>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</si>
  <si>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</si>
  <si>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</si>
  <si>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</si>
  <si>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</si>
  <si>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</si>
  <si>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</si>
  <si>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</si>
  <si>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</si>
  <si>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</si>
  <si>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</si>
  <si>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</si>
  <si>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TOTAL</t>
  </si>
  <si>
    <t>REVENUE</t>
  </si>
  <si>
    <t>B2C Sales (Growing 8%/month)</t>
  </si>
  <si>
    <t>B2B Sales (Growing 10%/month)</t>
  </si>
  <si>
    <t>Other Revenue</t>
  </si>
  <si>
    <t>TOTAL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</si>
</sst>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"/>
  </numFmts>
  <fonts count="18">
    <font>
      <sz val="11.0"/>
      <color theme="1"/>
      <name val="Aptos Narrow"/>
      <scheme val="minor"/>
    </font>
    <font>
      <b/>
      <sz val="16.0"/>
      <color rgb="FFFFFFFF"/>
      <name val="Aptos Narrow"/>
    </font>
    <font/>
    <font>
      <i/>
      <sz val="11.0"/>
      <color theme="1"/>
      <name val="Aptos Narrow"/>
    </font>
    <font>
      <b/>
      <sz val="11.0"/>
      <color rgb="FFFFFFFF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sz val="11.0"/>
      <color theme="1"/>
      <name val="Arial"/>
    </font>
    <font>
      <i/>
      <sz val="10.0"/>
      <color theme="1"/>
      <name val="Aptos Narrow"/>
    </font>
    <font>
      <sz val="10.0"/>
      <color theme="1"/>
      <name val="Aptos Narrow"/>
    </font>
    <font>
      <b/>
      <sz val="10.0"/>
      <color theme="1"/>
      <name val="Aptos Narrow"/>
    </font>
    <font>
      <b/>
      <sz val="10.0"/>
      <color rgb="FF006100"/>
      <name val="Aptos Narrow"/>
    </font>
    <font>
      <b/>
      <sz val="10.0"/>
      <color rgb="FF9C6500"/>
      <name val="Aptos Narrow"/>
    </font>
    <font>
      <b/>
      <sz val="10.0"/>
      <color rgb="FFFFFFFF"/>
      <name val="Aptos Narrow"/>
    </font>
    <font>
      <sz val="10.0"/>
      <color theme="1"/>
      <name val="Arial"/>
    </font>
    <font>
      <color theme="1"/>
      <name val="Arial"/>
    </font>
    <font>
      <b/>
      <sz val="14.0"/>
      <color rgb="FFFFFFFF"/>
      <name val="Aptos Narrow"/>
    </font>
    <font>
      <color theme="1"/>
      <name val="Aptos Narrow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DCE4"/>
        <bgColor rgb="FFD6DCE4"/>
      </patternFill>
    </fill>
    <fill>
      <patternFill patternType="solid">
        <fgColor rgb="FF2E75B6"/>
        <bgColor rgb="FF2E75B6"/>
      </patternFill>
    </fill>
    <fill>
      <patternFill patternType="solid">
        <fgColor rgb="FF203864"/>
        <bgColor rgb="FF203864"/>
      </patternFill>
    </fill>
    <fill>
      <patternFill patternType="solid">
        <fgColor rgb="FFBDD7EE"/>
        <bgColor rgb="FFBDD7EE"/>
      </patternFill>
    </fill>
    <fill>
      <patternFill patternType="solid">
        <fgColor rgb="FF375623"/>
        <bgColor rgb="FF375623"/>
      </patternFill>
    </fill>
    <fill>
      <patternFill patternType="solid">
        <fgColor rgb="FFC6E0B4"/>
        <bgColor rgb="FFC6E0B4"/>
      </patternFill>
    </fill>
    <fill>
      <patternFill patternType="solid">
        <fgColor rgb="FF7030A0"/>
        <bgColor rgb="FF7030A0"/>
      </patternFill>
    </fill>
    <fill>
      <patternFill patternType="solid">
        <fgColor rgb="FFE2D5F1"/>
        <bgColor rgb="FFE2D5F1"/>
      </patternFill>
    </fill>
    <fill>
      <patternFill patternType="solid">
        <fgColor rgb="FFFFF2CC"/>
        <bgColor rgb="FFFFF2CC"/>
      </patternFill>
    </fill>
    <fill>
      <patternFill patternType="solid">
        <fgColor rgb="FF1F6B3B"/>
        <bgColor rgb="FF1F6B3B"/>
      </patternFill>
    </fill>
    <fill>
      <patternFill patternType="solid">
        <fgColor rgb="FFE4F1E9"/>
        <bgColor rgb="FFE4F1E9"/>
      </patternFill>
    </fill>
    <fill>
      <patternFill patternType="solid">
        <fgColor rgb="FF2E8B57"/>
        <bgColor rgb="FF2E8B57"/>
      </patternFill>
    </fill>
    <fill>
      <patternFill patternType="solid">
        <fgColor rgb="FFC6EFCE"/>
        <bgColor rgb="FFC6EFCE"/>
      </patternFill>
    </fill>
    <fill>
      <patternFill patternType="solid">
        <fgColor rgb="FFF2F8F4"/>
        <bgColor rgb="FFF2F8F4"/>
      </patternFill>
    </fill>
    <fill>
      <patternFill patternType="solid">
        <fgColor rgb="FFFFEB9C"/>
        <bgColor rgb="FFFFEB9C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D9D9D9"/>
      </bottom>
    </border>
    <border>
      <left/>
      <right/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top style="thin">
        <color rgb="FFD9D9D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888888"/>
      </left>
      <right style="thin">
        <color rgb="FFBBBBBB"/>
      </right>
      <top style="thin">
        <color rgb="FF888888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888888"/>
      </top>
      <bottom style="thin">
        <color rgb="FFBBBBBB"/>
      </bottom>
    </border>
    <border>
      <left style="thin">
        <color rgb="FFBBBBBB"/>
      </left>
      <right style="thin">
        <color rgb="FF888888"/>
      </right>
      <top style="thin">
        <color rgb="FF888888"/>
      </top>
      <bottom style="thin">
        <color rgb="FFBBBBBB"/>
      </bottom>
    </border>
    <border>
      <left style="thin">
        <color rgb="FF888888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888888"/>
      </right>
      <top style="thin">
        <color rgb="FFBBBBBB"/>
      </top>
      <bottom style="thin">
        <color rgb="FFBBBBBB"/>
      </bottom>
    </border>
    <border>
      <left style="thin">
        <color rgb="FF888888"/>
      </left>
      <right style="thin">
        <color rgb="FFBBBBBB"/>
      </right>
      <top style="thin">
        <color rgb="FFBBBBBB"/>
      </top>
      <bottom style="thin">
        <color rgb="FF888888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888888"/>
      </bottom>
    </border>
    <border>
      <left style="thin">
        <color rgb="FFBBBBBB"/>
      </left>
      <right style="thin">
        <color rgb="FF888888"/>
      </right>
      <top style="thin">
        <color rgb="FFBBBBBB"/>
      </top>
      <bottom style="thin">
        <color rgb="FF888888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4" fillId="4" fontId="4" numFmtId="0" xfId="0" applyAlignment="1" applyBorder="1" applyFill="1" applyFont="1">
      <alignment horizontal="center"/>
    </xf>
    <xf borderId="5" fillId="5" fontId="4" numFmtId="0" xfId="0" applyBorder="1" applyFill="1" applyFont="1"/>
    <xf borderId="5" fillId="5" fontId="4" numFmtId="3" xfId="0" applyBorder="1" applyFont="1" applyNumberFormat="1"/>
    <xf borderId="6" fillId="0" fontId="5" numFmtId="0" xfId="0" applyBorder="1" applyFont="1"/>
    <xf borderId="6" fillId="0" fontId="5" numFmtId="3" xfId="0" applyBorder="1" applyFont="1" applyNumberFormat="1"/>
    <xf borderId="5" fillId="6" fontId="6" numFmtId="0" xfId="0" applyBorder="1" applyFill="1" applyFont="1"/>
    <xf borderId="5" fillId="6" fontId="6" numFmtId="3" xfId="0" applyBorder="1" applyFont="1" applyNumberFormat="1"/>
    <xf borderId="5" fillId="7" fontId="4" numFmtId="0" xfId="0" applyBorder="1" applyFill="1" applyFont="1"/>
    <xf borderId="5" fillId="7" fontId="4" numFmtId="3" xfId="0" applyBorder="1" applyFont="1" applyNumberFormat="1"/>
    <xf borderId="5" fillId="8" fontId="6" numFmtId="0" xfId="0" applyBorder="1" applyFill="1" applyFont="1"/>
    <xf borderId="5" fillId="8" fontId="6" numFmtId="3" xfId="0" applyBorder="1" applyFont="1" applyNumberFormat="1"/>
    <xf borderId="5" fillId="9" fontId="4" numFmtId="0" xfId="0" applyBorder="1" applyFill="1" applyFont="1"/>
    <xf borderId="5" fillId="9" fontId="4" numFmtId="3" xfId="0" applyBorder="1" applyFont="1" applyNumberFormat="1"/>
    <xf borderId="5" fillId="10" fontId="6" numFmtId="0" xfId="0" applyBorder="1" applyFill="1" applyFont="1"/>
    <xf borderId="5" fillId="10" fontId="6" numFmtId="3" xfId="0" applyBorder="1" applyFont="1" applyNumberFormat="1"/>
    <xf borderId="5" fillId="11" fontId="6" numFmtId="0" xfId="0" applyBorder="1" applyFill="1" applyFont="1"/>
    <xf borderId="5" fillId="11" fontId="6" numFmtId="3" xfId="0" applyBorder="1" applyFont="1" applyNumberFormat="1"/>
    <xf borderId="6" fillId="0" fontId="5" numFmtId="10" xfId="0" applyBorder="1" applyFont="1" applyNumberFormat="1"/>
    <xf borderId="6" fillId="0" fontId="5" numFmtId="2" xfId="0" applyBorder="1" applyFont="1" applyNumberFormat="1"/>
    <xf borderId="7" fillId="0" fontId="5" numFmtId="0" xfId="0" applyBorder="1" applyFont="1"/>
    <xf borderId="7" fillId="0" fontId="5" numFmtId="3" xfId="0" applyBorder="1" applyFont="1" applyNumberFormat="1"/>
    <xf borderId="0" fillId="0" fontId="5" numFmtId="3" xfId="0" applyFont="1" applyNumberFormat="1"/>
    <xf borderId="8" fillId="4" fontId="4" numFmtId="0" xfId="0" applyAlignment="1" applyBorder="1" applyFont="1">
      <alignment horizontal="center"/>
    </xf>
    <xf borderId="8" fillId="5" fontId="4" numFmtId="0" xfId="0" applyBorder="1" applyFont="1"/>
    <xf borderId="8" fillId="0" fontId="5" numFmtId="0" xfId="0" applyBorder="1" applyFont="1"/>
    <xf borderId="8" fillId="6" fontId="6" numFmtId="0" xfId="0" applyBorder="1" applyFont="1"/>
    <xf borderId="8" fillId="0" fontId="5" numFmtId="0" xfId="0" applyAlignment="1" applyBorder="1" applyFont="1">
      <alignment readingOrder="0"/>
    </xf>
    <xf borderId="8" fillId="0" fontId="7" numFmtId="0" xfId="0" applyAlignment="1" applyBorder="1" applyFont="1">
      <alignment readingOrder="0"/>
    </xf>
    <xf borderId="8" fillId="7" fontId="4" numFmtId="0" xfId="0" applyBorder="1" applyFont="1"/>
    <xf borderId="8" fillId="8" fontId="6" numFmtId="0" xfId="0" applyBorder="1" applyFont="1"/>
    <xf borderId="8" fillId="9" fontId="4" numFmtId="0" xfId="0" applyBorder="1" applyFont="1"/>
    <xf borderId="8" fillId="10" fontId="6" numFmtId="0" xfId="0" applyBorder="1" applyFont="1"/>
    <xf borderId="8" fillId="11" fontId="6" numFmtId="0" xfId="0" applyBorder="1" applyFont="1"/>
    <xf borderId="1" fillId="12" fontId="1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1" fillId="13" fontId="8" numFmtId="0" xfId="0" applyAlignment="1" applyBorder="1" applyFill="1" applyFont="1">
      <alignment horizontal="center" vertical="center"/>
    </xf>
    <xf borderId="9" fillId="14" fontId="4" numFmtId="0" xfId="0" applyAlignment="1" applyBorder="1" applyFill="1" applyFont="1">
      <alignment horizontal="center" vertical="center"/>
    </xf>
    <xf borderId="10" fillId="0" fontId="9" numFmtId="0" xfId="0" applyAlignment="1" applyBorder="1" applyFont="1">
      <alignment horizontal="center" vertical="center"/>
    </xf>
    <xf borderId="11" fillId="0" fontId="10" numFmtId="0" xfId="0" applyAlignment="1" applyBorder="1" applyFont="1">
      <alignment shrinkToFit="0" vertical="center" wrapText="1"/>
    </xf>
    <xf borderId="11" fillId="0" fontId="9" numFmtId="0" xfId="0" applyAlignment="1" applyBorder="1" applyFont="1">
      <alignment shrinkToFit="0" vertical="center" wrapText="1"/>
    </xf>
    <xf borderId="12" fillId="15" fontId="11" numFmtId="0" xfId="0" applyAlignment="1" applyBorder="1" applyFill="1" applyFont="1">
      <alignment horizontal="center" shrinkToFit="0" vertical="center" wrapText="1"/>
    </xf>
    <xf borderId="13" fillId="16" fontId="9" numFmtId="0" xfId="0" applyAlignment="1" applyBorder="1" applyFill="1" applyFont="1">
      <alignment horizontal="center" vertical="center"/>
    </xf>
    <xf borderId="14" fillId="16" fontId="10" numFmtId="0" xfId="0" applyAlignment="1" applyBorder="1" applyFont="1">
      <alignment shrinkToFit="0" vertical="center" wrapText="1"/>
    </xf>
    <xf borderId="14" fillId="16" fontId="9" numFmtId="0" xfId="0" applyAlignment="1" applyBorder="1" applyFont="1">
      <alignment shrinkToFit="0" vertical="center" wrapText="1"/>
    </xf>
    <xf borderId="15" fillId="15" fontId="11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vertical="center"/>
    </xf>
    <xf borderId="14" fillId="0" fontId="10" numFmtId="0" xfId="0" applyAlignment="1" applyBorder="1" applyFont="1">
      <alignment shrinkToFit="0" vertical="center" wrapText="1"/>
    </xf>
    <xf borderId="14" fillId="0" fontId="9" numFmtId="0" xfId="0" applyAlignment="1" applyBorder="1" applyFont="1">
      <alignment shrinkToFit="0" vertical="center" wrapText="1"/>
    </xf>
    <xf borderId="15" fillId="17" fontId="12" numFmtId="0" xfId="0" applyAlignment="1" applyBorder="1" applyFill="1" applyFont="1">
      <alignment horizontal="center" shrinkToFit="0" vertical="center" wrapText="1"/>
    </xf>
    <xf borderId="16" fillId="0" fontId="9" numFmtId="0" xfId="0" applyAlignment="1" applyBorder="1" applyFont="1">
      <alignment horizontal="center" vertical="center"/>
    </xf>
    <xf borderId="17" fillId="0" fontId="10" numFmtId="0" xfId="0" applyAlignment="1" applyBorder="1" applyFont="1">
      <alignment shrinkToFit="0" vertical="center" wrapText="1"/>
    </xf>
    <xf borderId="17" fillId="0" fontId="9" numFmtId="0" xfId="0" applyAlignment="1" applyBorder="1" applyFont="1">
      <alignment shrinkToFit="0" vertical="center" wrapText="1"/>
    </xf>
    <xf borderId="18" fillId="15" fontId="11" numFmtId="0" xfId="0" applyAlignment="1" applyBorder="1" applyFont="1">
      <alignment horizontal="center" shrinkToFit="0" vertical="center" wrapText="1"/>
    </xf>
    <xf borderId="1" fillId="12" fontId="4" numFmtId="0" xfId="0" applyAlignment="1" applyBorder="1" applyFont="1">
      <alignment horizontal="left" vertical="center"/>
    </xf>
    <xf borderId="9" fillId="14" fontId="13" numFmtId="0" xfId="0" applyAlignment="1" applyBorder="1" applyFont="1">
      <alignment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0" fillId="0" fontId="9" numFmtId="0" xfId="0" applyAlignment="1" applyFont="1">
      <alignment vertical="center"/>
    </xf>
    <xf borderId="9" fillId="15" fontId="9" numFmtId="0" xfId="0" applyAlignment="1" applyBorder="1" applyFont="1">
      <alignment horizontal="center" vertical="center"/>
    </xf>
    <xf borderId="9" fillId="15" fontId="14" numFmtId="0" xfId="0" applyAlignment="1" applyBorder="1" applyFont="1">
      <alignment horizontal="center" readingOrder="0" vertical="center"/>
    </xf>
    <xf borderId="0" fillId="0" fontId="15" numFmtId="164" xfId="0" applyAlignment="1" applyFont="1" applyNumberFormat="1">
      <alignment readingOrder="0"/>
    </xf>
    <xf borderId="1" fillId="2" fontId="16" numFmtId="0" xfId="0" applyAlignment="1" applyBorder="1" applyFont="1">
      <alignment horizontal="center"/>
    </xf>
    <xf borderId="9" fillId="3" fontId="6" numFmtId="0" xfId="0" applyBorder="1" applyFont="1"/>
    <xf borderId="0" fillId="0" fontId="17" numFmtId="0" xfId="0" applyFont="1"/>
    <xf borderId="0" fillId="0" fontId="6" numFmtId="0" xfId="0" applyFont="1"/>
    <xf borderId="9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0.63"/>
    <col customWidth="1" min="2" max="2" width="27.75"/>
    <col customWidth="1" min="3" max="4" width="24.13"/>
    <col customWidth="1" min="5" max="5" width="37.0"/>
    <col customWidth="1" min="6" max="26" width="8.63"/>
  </cols>
  <sheetData>
    <row r="1" ht="34.5" customHeight="1">
      <c r="A1" s="1" t="s">
        <v>0</v>
      </c>
      <c r="B1" s="2"/>
      <c r="C1" s="2"/>
      <c r="D1" s="2"/>
      <c r="E1" s="3"/>
    </row>
    <row r="2" ht="14.25" customHeight="1">
      <c r="A2" s="4" t="s">
        <v>1</v>
      </c>
      <c r="B2" s="2"/>
      <c r="C2" s="2"/>
      <c r="D2" s="2"/>
      <c r="E2" s="3"/>
    </row>
    <row r="3" ht="14.25" customHeight="1"/>
    <row r="4" ht="14.2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ht="14.25" customHeight="1">
      <c r="A5" s="6" t="s">
        <v>7</v>
      </c>
      <c r="B5" s="7"/>
      <c r="C5" s="7"/>
      <c r="D5" s="6"/>
      <c r="E5" s="6"/>
    </row>
    <row r="6" ht="14.25" customHeight="1">
      <c r="A6" s="8"/>
      <c r="B6" s="9"/>
      <c r="C6" s="9"/>
      <c r="D6" s="8"/>
      <c r="E6" s="8"/>
    </row>
    <row r="7" ht="14.25" customHeight="1">
      <c r="A7" s="10" t="s">
        <v>8</v>
      </c>
      <c r="B7" s="11"/>
      <c r="C7" s="11"/>
      <c r="D7" s="10"/>
      <c r="E7" s="10"/>
    </row>
    <row r="8" ht="14.25" customHeight="1">
      <c r="A8" s="8" t="s">
        <v>9</v>
      </c>
      <c r="B8" s="9">
        <v>0.0</v>
      </c>
      <c r="C8" s="9">
        <v>250000.0</v>
      </c>
      <c r="D8" s="8"/>
      <c r="E8" s="8" t="s">
        <v>10</v>
      </c>
    </row>
    <row r="9" ht="14.25" customHeight="1">
      <c r="A9" s="8" t="s">
        <v>11</v>
      </c>
      <c r="B9" s="9">
        <v>0.0</v>
      </c>
      <c r="C9" s="9">
        <v>500000.0</v>
      </c>
      <c r="D9" s="8"/>
      <c r="E9" s="8" t="s">
        <v>12</v>
      </c>
    </row>
    <row r="10" ht="14.25" customHeight="1">
      <c r="A10" s="8" t="s">
        <v>13</v>
      </c>
      <c r="B10" s="9">
        <v>0.0</v>
      </c>
      <c r="C10" s="9">
        <v>150000.0</v>
      </c>
      <c r="D10" s="8"/>
      <c r="E10" s="8" t="s">
        <v>14</v>
      </c>
    </row>
    <row r="11" ht="14.25" customHeight="1">
      <c r="A11" s="8" t="s">
        <v>15</v>
      </c>
      <c r="B11" s="9">
        <v>0.0</v>
      </c>
      <c r="C11" s="9">
        <v>100000.0</v>
      </c>
      <c r="D11" s="8"/>
      <c r="E11" s="8" t="s">
        <v>16</v>
      </c>
    </row>
    <row r="12" ht="14.25" customHeight="1">
      <c r="A12" s="8" t="s">
        <v>17</v>
      </c>
      <c r="B12" s="9">
        <v>0.0</v>
      </c>
      <c r="C12" s="9">
        <v>25000.0</v>
      </c>
      <c r="D12" s="8"/>
      <c r="E12" s="8" t="s">
        <v>18</v>
      </c>
    </row>
    <row r="13" ht="14.25" customHeight="1">
      <c r="A13" s="8" t="s">
        <v>19</v>
      </c>
      <c r="B13" s="9">
        <v>0.0</v>
      </c>
      <c r="C13" s="9">
        <v>5000.0</v>
      </c>
      <c r="D13" s="8"/>
      <c r="E13" s="8" t="s">
        <v>20</v>
      </c>
    </row>
    <row r="14" ht="14.25" customHeight="1">
      <c r="A14" s="8" t="s">
        <v>21</v>
      </c>
      <c r="B14" s="9">
        <v>0.0</v>
      </c>
      <c r="C14" s="9">
        <v>30000.0</v>
      </c>
      <c r="D14" s="8"/>
      <c r="E14" s="8" t="s">
        <v>22</v>
      </c>
    </row>
    <row r="15" ht="14.25" customHeight="1">
      <c r="A15" s="8"/>
      <c r="B15" s="9"/>
      <c r="C15" s="9"/>
      <c r="D15" s="8"/>
      <c r="E15" s="8"/>
    </row>
    <row r="16" ht="14.25" customHeight="1">
      <c r="A16" s="10" t="s">
        <v>23</v>
      </c>
      <c r="B16" s="11"/>
      <c r="C16" s="11"/>
      <c r="D16" s="10"/>
      <c r="E16" s="10"/>
    </row>
    <row r="17" ht="14.25" customHeight="1">
      <c r="A17" s="8" t="s">
        <v>24</v>
      </c>
      <c r="B17" s="9">
        <v>0.0</v>
      </c>
      <c r="C17" s="9">
        <v>800000.0</v>
      </c>
      <c r="D17" s="8"/>
      <c r="E17" s="8" t="s">
        <v>25</v>
      </c>
    </row>
    <row r="18" ht="14.25" customHeight="1">
      <c r="A18" s="8" t="s">
        <v>26</v>
      </c>
      <c r="B18" s="9">
        <v>0.0</v>
      </c>
      <c r="C18" s="9">
        <v>200000.0</v>
      </c>
      <c r="D18" s="8"/>
      <c r="E18" s="8" t="s">
        <v>27</v>
      </c>
    </row>
    <row r="19" ht="14.25" customHeight="1">
      <c r="A19" s="8" t="s">
        <v>28</v>
      </c>
      <c r="B19" s="9">
        <v>0.0</v>
      </c>
      <c r="C19" s="9">
        <v>300000.0</v>
      </c>
      <c r="D19" s="8"/>
      <c r="E19" s="8" t="s">
        <v>29</v>
      </c>
    </row>
    <row r="20" ht="14.25" customHeight="1">
      <c r="A20" s="8" t="s">
        <v>30</v>
      </c>
      <c r="B20" s="9">
        <v>0.0</v>
      </c>
      <c r="C20" s="9">
        <v>50000.0</v>
      </c>
      <c r="D20" s="8"/>
      <c r="E20" s="8" t="s">
        <v>31</v>
      </c>
    </row>
    <row r="21" ht="14.25" customHeight="1">
      <c r="A21" s="8" t="s">
        <v>32</v>
      </c>
      <c r="B21" s="9">
        <v>0.0</v>
      </c>
      <c r="C21" s="9">
        <v>100000.0</v>
      </c>
      <c r="D21" s="8"/>
      <c r="E21" s="8" t="s">
        <v>33</v>
      </c>
    </row>
    <row r="22" ht="14.25" customHeight="1">
      <c r="A22" s="8" t="s">
        <v>34</v>
      </c>
      <c r="B22" s="9">
        <v>0.0</v>
      </c>
      <c r="C22" s="9">
        <v>150000.0</v>
      </c>
      <c r="D22" s="8"/>
      <c r="E22" s="8" t="s">
        <v>35</v>
      </c>
    </row>
    <row r="23" ht="14.25" customHeight="1">
      <c r="A23" s="8"/>
      <c r="B23" s="9"/>
      <c r="C23" s="9"/>
      <c r="D23" s="8"/>
      <c r="E23" s="8"/>
    </row>
    <row r="24" ht="14.25" customHeight="1">
      <c r="A24" s="10" t="s">
        <v>36</v>
      </c>
      <c r="B24" s="11"/>
      <c r="C24" s="11"/>
      <c r="D24" s="10"/>
      <c r="E24" s="10"/>
    </row>
    <row r="25" ht="14.25" customHeight="1">
      <c r="A25" s="8" t="s">
        <v>37</v>
      </c>
      <c r="B25" s="9">
        <v>0.0</v>
      </c>
      <c r="C25" s="9">
        <v>1200000.0</v>
      </c>
      <c r="D25" s="8"/>
      <c r="E25" s="8" t="s">
        <v>38</v>
      </c>
    </row>
    <row r="26" ht="14.25" customHeight="1">
      <c r="A26" s="8" t="s">
        <v>39</v>
      </c>
      <c r="B26" s="9">
        <v>0.0</v>
      </c>
      <c r="C26" s="9">
        <v>400000.0</v>
      </c>
      <c r="D26" s="8"/>
      <c r="E26" s="8" t="s">
        <v>40</v>
      </c>
    </row>
    <row r="27" ht="14.25" customHeight="1">
      <c r="A27" s="8" t="s">
        <v>41</v>
      </c>
      <c r="B27" s="9">
        <v>0.0</v>
      </c>
      <c r="C27" s="9">
        <v>40000.0</v>
      </c>
      <c r="D27" s="8"/>
      <c r="E27" s="8" t="s">
        <v>42</v>
      </c>
    </row>
    <row r="28" ht="14.25" customHeight="1">
      <c r="A28" s="8" t="s">
        <v>43</v>
      </c>
      <c r="B28" s="9">
        <v>0.0</v>
      </c>
      <c r="C28" s="9">
        <v>50000.0</v>
      </c>
      <c r="D28" s="8"/>
      <c r="E28" s="8" t="s">
        <v>44</v>
      </c>
    </row>
    <row r="29" ht="14.25" customHeight="1">
      <c r="A29" s="8" t="s">
        <v>45</v>
      </c>
      <c r="B29" s="9">
        <v>0.0</v>
      </c>
      <c r="C29" s="9">
        <v>30000.0</v>
      </c>
      <c r="D29" s="8"/>
      <c r="E29" s="8" t="s">
        <v>46</v>
      </c>
    </row>
    <row r="30" ht="14.25" customHeight="1">
      <c r="A30" s="8"/>
      <c r="B30" s="9"/>
      <c r="C30" s="9"/>
      <c r="D30" s="8"/>
      <c r="E30" s="8"/>
    </row>
    <row r="31" ht="14.25" customHeight="1">
      <c r="A31" s="10" t="s">
        <v>47</v>
      </c>
      <c r="B31" s="11"/>
      <c r="C31" s="11"/>
      <c r="D31" s="10"/>
      <c r="E31" s="10"/>
    </row>
    <row r="32" ht="14.25" customHeight="1">
      <c r="A32" s="8" t="s">
        <v>48</v>
      </c>
      <c r="B32" s="9">
        <v>0.0</v>
      </c>
      <c r="C32" s="9">
        <v>100000.0</v>
      </c>
      <c r="D32" s="8"/>
      <c r="E32" s="8" t="s">
        <v>49</v>
      </c>
    </row>
    <row r="33" ht="14.25" customHeight="1">
      <c r="A33" s="8" t="s">
        <v>50</v>
      </c>
      <c r="B33" s="9">
        <v>0.0</v>
      </c>
      <c r="C33" s="9">
        <v>150000.0</v>
      </c>
      <c r="D33" s="8"/>
      <c r="E33" s="8" t="s">
        <v>51</v>
      </c>
    </row>
    <row r="34" ht="14.25" customHeight="1">
      <c r="A34" s="8" t="s">
        <v>52</v>
      </c>
      <c r="B34" s="9">
        <v>0.0</v>
      </c>
      <c r="C34" s="9">
        <v>75000.0</v>
      </c>
      <c r="D34" s="8"/>
      <c r="E34" s="8" t="s">
        <v>53</v>
      </c>
    </row>
    <row r="35" ht="14.25" customHeight="1">
      <c r="A35" s="8" t="s">
        <v>54</v>
      </c>
      <c r="B35" s="9">
        <v>0.0</v>
      </c>
      <c r="C35" s="9">
        <v>80000.0</v>
      </c>
      <c r="D35" s="8"/>
      <c r="E35" s="8" t="s">
        <v>55</v>
      </c>
    </row>
    <row r="36" ht="14.25" customHeight="1">
      <c r="A36" s="8" t="s">
        <v>56</v>
      </c>
      <c r="B36" s="9">
        <v>0.0</v>
      </c>
      <c r="C36" s="9">
        <v>25000.0</v>
      </c>
      <c r="D36" s="8"/>
      <c r="E36" s="8" t="s">
        <v>57</v>
      </c>
    </row>
    <row r="37" ht="14.25" customHeight="1">
      <c r="A37" s="8" t="s">
        <v>58</v>
      </c>
      <c r="B37" s="9">
        <v>0.0</v>
      </c>
      <c r="C37" s="9">
        <v>100000.0</v>
      </c>
      <c r="D37" s="8"/>
      <c r="E37" s="8" t="s">
        <v>59</v>
      </c>
    </row>
    <row r="38" ht="14.25" customHeight="1">
      <c r="A38" s="8"/>
      <c r="B38" s="9"/>
      <c r="C38" s="9"/>
      <c r="D38" s="8"/>
      <c r="E38" s="8"/>
    </row>
    <row r="39" ht="14.25" customHeight="1">
      <c r="A39" s="10" t="s">
        <v>60</v>
      </c>
      <c r="B39" s="11"/>
      <c r="C39" s="11"/>
      <c r="D39" s="10"/>
      <c r="E39" s="10"/>
    </row>
    <row r="40" ht="14.25" customHeight="1">
      <c r="A40" s="8" t="s">
        <v>61</v>
      </c>
      <c r="B40" s="9">
        <v>0.0</v>
      </c>
      <c r="C40" s="9">
        <v>25000.0</v>
      </c>
      <c r="D40" s="8"/>
      <c r="E40" s="8" t="s">
        <v>62</v>
      </c>
    </row>
    <row r="41" ht="14.25" customHeight="1">
      <c r="A41" s="8" t="s">
        <v>63</v>
      </c>
      <c r="B41" s="9">
        <v>0.0</v>
      </c>
      <c r="C41" s="9">
        <v>15000.0</v>
      </c>
      <c r="D41" s="8"/>
      <c r="E41" s="8" t="s">
        <v>64</v>
      </c>
    </row>
    <row r="42" ht="14.25" customHeight="1">
      <c r="A42" s="8" t="s">
        <v>65</v>
      </c>
      <c r="B42" s="9">
        <v>0.0</v>
      </c>
      <c r="C42" s="9">
        <v>5000.0</v>
      </c>
      <c r="D42" s="8"/>
      <c r="E42" s="8" t="s">
        <v>66</v>
      </c>
    </row>
    <row r="43" ht="14.25" customHeight="1">
      <c r="A43" s="8" t="s">
        <v>67</v>
      </c>
      <c r="B43" s="9">
        <v>0.0</v>
      </c>
      <c r="C43" s="9">
        <v>10000.0</v>
      </c>
      <c r="D43" s="8"/>
      <c r="E43" s="8" t="s">
        <v>68</v>
      </c>
    </row>
    <row r="44" ht="14.25" customHeight="1">
      <c r="A44" s="8" t="s">
        <v>69</v>
      </c>
      <c r="B44" s="9">
        <v>0.0</v>
      </c>
      <c r="C44" s="9">
        <v>15000.0</v>
      </c>
      <c r="D44" s="8"/>
      <c r="E44" s="8" t="s">
        <v>70</v>
      </c>
    </row>
    <row r="45" ht="14.25" customHeight="1">
      <c r="A45" s="8" t="s">
        <v>71</v>
      </c>
      <c r="B45" s="9">
        <v>0.0</v>
      </c>
      <c r="C45" s="9">
        <v>50000.0</v>
      </c>
      <c r="D45" s="8"/>
      <c r="E45" s="8" t="s">
        <v>72</v>
      </c>
    </row>
    <row r="46" ht="14.25" customHeight="1">
      <c r="A46" s="8"/>
      <c r="B46" s="9"/>
      <c r="C46" s="9"/>
      <c r="D46" s="8"/>
      <c r="E46" s="8"/>
    </row>
    <row r="47" ht="14.25" customHeight="1">
      <c r="A47" s="10" t="s">
        <v>73</v>
      </c>
      <c r="B47" s="11"/>
      <c r="C47" s="11"/>
      <c r="D47" s="10"/>
      <c r="E47" s="10"/>
    </row>
    <row r="48" ht="14.25" customHeight="1">
      <c r="A48" s="8" t="s">
        <v>74</v>
      </c>
      <c r="B48" s="9">
        <v>0.0</v>
      </c>
      <c r="C48" s="9">
        <v>50000.0</v>
      </c>
      <c r="D48" s="8"/>
      <c r="E48" s="8" t="s">
        <v>75</v>
      </c>
    </row>
    <row r="49" ht="14.25" customHeight="1">
      <c r="A49" s="8" t="s">
        <v>76</v>
      </c>
      <c r="B49" s="9">
        <v>0.0</v>
      </c>
      <c r="C49" s="9">
        <v>200000.0</v>
      </c>
      <c r="D49" s="8"/>
      <c r="E49" s="8" t="s">
        <v>77</v>
      </c>
    </row>
    <row r="50" ht="14.25" customHeight="1">
      <c r="A50" s="8" t="s">
        <v>78</v>
      </c>
      <c r="B50" s="9">
        <v>0.0</v>
      </c>
      <c r="C50" s="9">
        <v>75000.0</v>
      </c>
      <c r="D50" s="8"/>
      <c r="E50" s="8" t="s">
        <v>79</v>
      </c>
    </row>
    <row r="51" ht="14.25" customHeight="1">
      <c r="A51" s="8" t="s">
        <v>80</v>
      </c>
      <c r="B51" s="9">
        <v>0.0</v>
      </c>
      <c r="C51" s="9">
        <v>100000.0</v>
      </c>
      <c r="D51" s="8"/>
      <c r="E51" s="8" t="s">
        <v>81</v>
      </c>
    </row>
    <row r="52" ht="14.25" customHeight="1">
      <c r="A52" s="8"/>
      <c r="B52" s="9"/>
      <c r="C52" s="9"/>
      <c r="D52" s="8"/>
      <c r="E52" s="8"/>
    </row>
    <row r="53" ht="14.25" customHeight="1">
      <c r="A53" s="6" t="s">
        <v>82</v>
      </c>
      <c r="B53" s="7"/>
      <c r="C53" s="7"/>
      <c r="D53" s="6"/>
      <c r="E53" s="6"/>
    </row>
    <row r="54" ht="14.25" customHeight="1">
      <c r="A54" s="8"/>
      <c r="B54" s="9"/>
      <c r="C54" s="9"/>
      <c r="D54" s="8"/>
      <c r="E54" s="8"/>
    </row>
    <row r="55" ht="14.25" customHeight="1">
      <c r="A55" s="10" t="s">
        <v>83</v>
      </c>
      <c r="B55" s="11"/>
      <c r="C55" s="11"/>
      <c r="D55" s="10"/>
      <c r="E55" s="10"/>
    </row>
    <row r="56" ht="14.25" customHeight="1">
      <c r="A56" s="8" t="s">
        <v>84</v>
      </c>
      <c r="B56" s="9">
        <v>300000.0</v>
      </c>
      <c r="C56" s="9">
        <v>3600000.0</v>
      </c>
      <c r="D56" s="8"/>
      <c r="E56" s="8" t="s">
        <v>85</v>
      </c>
    </row>
    <row r="57" ht="14.25" customHeight="1">
      <c r="A57" s="8" t="s">
        <v>86</v>
      </c>
      <c r="B57" s="9">
        <v>100000.0</v>
      </c>
      <c r="C57" s="9">
        <v>1200000.0</v>
      </c>
      <c r="D57" s="8"/>
      <c r="E57" s="8" t="s">
        <v>87</v>
      </c>
    </row>
    <row r="58" ht="14.25" customHeight="1">
      <c r="A58" s="8" t="s">
        <v>88</v>
      </c>
      <c r="B58" s="9">
        <v>30000.0</v>
      </c>
      <c r="C58" s="9">
        <v>360000.0</v>
      </c>
      <c r="D58" s="8"/>
      <c r="E58" s="8" t="s">
        <v>89</v>
      </c>
    </row>
    <row r="59" ht="14.25" customHeight="1">
      <c r="A59" s="8" t="s">
        <v>90</v>
      </c>
      <c r="B59" s="9">
        <v>12000.0</v>
      </c>
      <c r="C59" s="9">
        <v>144000.0</v>
      </c>
      <c r="D59" s="8"/>
      <c r="E59" s="8" t="s">
        <v>91</v>
      </c>
    </row>
    <row r="60" ht="14.25" customHeight="1">
      <c r="A60" s="8" t="s">
        <v>92</v>
      </c>
      <c r="B60" s="9">
        <v>5000.0</v>
      </c>
      <c r="C60" s="9">
        <v>60000.0</v>
      </c>
      <c r="D60" s="8"/>
      <c r="E60" s="8" t="s">
        <v>93</v>
      </c>
    </row>
    <row r="61" ht="14.25" customHeight="1">
      <c r="A61" s="8"/>
      <c r="B61" s="9"/>
      <c r="C61" s="9"/>
      <c r="D61" s="8"/>
      <c r="E61" s="8"/>
    </row>
    <row r="62" ht="14.25" customHeight="1">
      <c r="A62" s="10" t="s">
        <v>94</v>
      </c>
      <c r="B62" s="11"/>
      <c r="C62" s="11"/>
      <c r="D62" s="10"/>
      <c r="E62" s="10"/>
    </row>
    <row r="63" ht="14.25" customHeight="1">
      <c r="A63" s="8" t="s">
        <v>95</v>
      </c>
      <c r="B63" s="9">
        <v>50000.0</v>
      </c>
      <c r="C63" s="9">
        <v>600000.0</v>
      </c>
      <c r="D63" s="8"/>
      <c r="E63" s="8" t="s">
        <v>96</v>
      </c>
    </row>
    <row r="64" ht="14.25" customHeight="1">
      <c r="A64" s="8" t="s">
        <v>97</v>
      </c>
      <c r="B64" s="9">
        <v>160000.0</v>
      </c>
      <c r="C64" s="9">
        <v>1920000.0</v>
      </c>
      <c r="D64" s="8"/>
      <c r="E64" s="8" t="s">
        <v>98</v>
      </c>
    </row>
    <row r="65" ht="14.25" customHeight="1">
      <c r="A65" s="8" t="s">
        <v>99</v>
      </c>
      <c r="B65" s="9">
        <v>25000.0</v>
      </c>
      <c r="C65" s="9">
        <v>300000.0</v>
      </c>
      <c r="D65" s="8"/>
      <c r="E65" s="8" t="s">
        <v>100</v>
      </c>
    </row>
    <row r="66" ht="14.25" customHeight="1">
      <c r="A66" s="8" t="s">
        <v>101</v>
      </c>
      <c r="B66" s="9">
        <v>40000.0</v>
      </c>
      <c r="C66" s="9">
        <v>480000.0</v>
      </c>
      <c r="D66" s="8"/>
      <c r="E66" s="8" t="s">
        <v>102</v>
      </c>
    </row>
    <row r="67" ht="14.25" customHeight="1">
      <c r="A67" s="8" t="s">
        <v>103</v>
      </c>
      <c r="B67" s="9">
        <v>30000.0</v>
      </c>
      <c r="C67" s="9">
        <v>360000.0</v>
      </c>
      <c r="D67" s="8"/>
      <c r="E67" s="8" t="s">
        <v>104</v>
      </c>
    </row>
    <row r="68" ht="14.25" customHeight="1">
      <c r="A68" s="8" t="s">
        <v>105</v>
      </c>
      <c r="B68" s="9">
        <v>15000.0</v>
      </c>
      <c r="C68" s="9">
        <v>180000.0</v>
      </c>
      <c r="D68" s="8"/>
      <c r="E68" s="8" t="s">
        <v>106</v>
      </c>
    </row>
    <row r="69" ht="14.25" customHeight="1">
      <c r="A69" s="8" t="s">
        <v>107</v>
      </c>
      <c r="B69" s="9">
        <v>10000.0</v>
      </c>
      <c r="C69" s="9">
        <v>120000.0</v>
      </c>
      <c r="D69" s="8"/>
      <c r="E69" s="8" t="s">
        <v>108</v>
      </c>
    </row>
    <row r="70" ht="14.25" customHeight="1">
      <c r="A70" s="8" t="s">
        <v>109</v>
      </c>
      <c r="B70" s="9">
        <v>15000.0</v>
      </c>
      <c r="C70" s="9">
        <v>180000.0</v>
      </c>
      <c r="D70" s="8"/>
      <c r="E70" s="8" t="s">
        <v>110</v>
      </c>
    </row>
    <row r="71" ht="14.25" customHeight="1">
      <c r="A71" s="8" t="s">
        <v>111</v>
      </c>
      <c r="B71" s="9">
        <v>25000.0</v>
      </c>
      <c r="C71" s="9">
        <v>300000.0</v>
      </c>
      <c r="D71" s="8"/>
      <c r="E71" s="8" t="s">
        <v>112</v>
      </c>
    </row>
    <row r="72" ht="14.25" customHeight="1">
      <c r="A72" s="8"/>
      <c r="B72" s="9"/>
      <c r="C72" s="9"/>
      <c r="D72" s="8"/>
      <c r="E72" s="8"/>
    </row>
    <row r="73" ht="14.25" customHeight="1">
      <c r="A73" s="10" t="s">
        <v>113</v>
      </c>
      <c r="B73" s="11"/>
      <c r="C73" s="11"/>
      <c r="D73" s="10"/>
      <c r="E73" s="10"/>
    </row>
    <row r="74" ht="14.25" customHeight="1">
      <c r="A74" s="8" t="s">
        <v>114</v>
      </c>
      <c r="B74" s="9">
        <v>80000.0</v>
      </c>
      <c r="C74" s="9">
        <v>960000.0</v>
      </c>
      <c r="D74" s="8"/>
      <c r="E74" s="8" t="s">
        <v>115</v>
      </c>
    </row>
    <row r="75" ht="14.25" customHeight="1">
      <c r="A75" s="8" t="s">
        <v>116</v>
      </c>
      <c r="B75" s="9">
        <v>20000.0</v>
      </c>
      <c r="C75" s="9">
        <v>240000.0</v>
      </c>
      <c r="D75" s="8"/>
      <c r="E75" s="8" t="s">
        <v>117</v>
      </c>
    </row>
    <row r="76" ht="14.25" customHeight="1">
      <c r="A76" s="8" t="s">
        <v>118</v>
      </c>
      <c r="B76" s="9">
        <v>8000.0</v>
      </c>
      <c r="C76" s="9">
        <v>96000.0</v>
      </c>
      <c r="D76" s="8"/>
      <c r="E76" s="8" t="s">
        <v>119</v>
      </c>
    </row>
    <row r="77" ht="14.25" customHeight="1">
      <c r="A77" s="8" t="s">
        <v>120</v>
      </c>
      <c r="B77" s="9">
        <v>25000.0</v>
      </c>
      <c r="C77" s="9">
        <v>300000.0</v>
      </c>
      <c r="D77" s="8"/>
      <c r="E77" s="8" t="s">
        <v>121</v>
      </c>
    </row>
    <row r="78" ht="14.25" customHeight="1">
      <c r="A78" s="8" t="s">
        <v>122</v>
      </c>
      <c r="B78" s="9">
        <v>5000.0</v>
      </c>
      <c r="C78" s="9">
        <v>60000.0</v>
      </c>
      <c r="D78" s="8"/>
      <c r="E78" s="8" t="s">
        <v>123</v>
      </c>
    </row>
    <row r="79" ht="14.25" customHeight="1">
      <c r="A79" s="8" t="s">
        <v>124</v>
      </c>
      <c r="B79" s="9">
        <v>5000.0</v>
      </c>
      <c r="C79" s="9">
        <v>60000.0</v>
      </c>
      <c r="D79" s="8"/>
      <c r="E79" s="8" t="s">
        <v>125</v>
      </c>
    </row>
    <row r="80" ht="14.25" customHeight="1">
      <c r="A80" s="8"/>
      <c r="B80" s="9"/>
      <c r="C80" s="9"/>
      <c r="D80" s="8"/>
      <c r="E80" s="8"/>
    </row>
    <row r="81" ht="14.25" customHeight="1">
      <c r="A81" s="10" t="s">
        <v>126</v>
      </c>
      <c r="B81" s="11"/>
      <c r="C81" s="11"/>
      <c r="D81" s="10"/>
      <c r="E81" s="10"/>
    </row>
    <row r="82" ht="14.25" customHeight="1">
      <c r="A82" s="8" t="s">
        <v>127</v>
      </c>
      <c r="B82" s="9">
        <v>15000.0</v>
      </c>
      <c r="C82" s="9">
        <v>180000.0</v>
      </c>
      <c r="D82" s="8"/>
      <c r="E82" s="8" t="s">
        <v>128</v>
      </c>
    </row>
    <row r="83" ht="14.25" customHeight="1">
      <c r="A83" s="8" t="s">
        <v>129</v>
      </c>
      <c r="B83" s="9">
        <v>10000.0</v>
      </c>
      <c r="C83" s="9">
        <v>120000.0</v>
      </c>
      <c r="D83" s="8"/>
      <c r="E83" s="8" t="s">
        <v>130</v>
      </c>
    </row>
    <row r="84" ht="14.25" customHeight="1">
      <c r="A84" s="8" t="s">
        <v>131</v>
      </c>
      <c r="B84" s="9">
        <v>15000.0</v>
      </c>
      <c r="C84" s="9">
        <v>180000.0</v>
      </c>
      <c r="D84" s="8"/>
      <c r="E84" s="8" t="s">
        <v>132</v>
      </c>
    </row>
    <row r="85" ht="14.25" customHeight="1">
      <c r="A85" s="8" t="s">
        <v>133</v>
      </c>
      <c r="B85" s="9">
        <v>5000.0</v>
      </c>
      <c r="C85" s="9">
        <v>60000.0</v>
      </c>
      <c r="D85" s="8"/>
      <c r="E85" s="8" t="s">
        <v>134</v>
      </c>
    </row>
    <row r="86" ht="14.25" customHeight="1">
      <c r="A86" s="8" t="s">
        <v>135</v>
      </c>
      <c r="B86" s="9">
        <v>3000.0</v>
      </c>
      <c r="C86" s="9">
        <v>36000.0</v>
      </c>
      <c r="D86" s="8"/>
      <c r="E86" s="8" t="s">
        <v>136</v>
      </c>
    </row>
    <row r="87" ht="14.25" customHeight="1">
      <c r="A87" s="8" t="s">
        <v>137</v>
      </c>
      <c r="B87" s="9">
        <v>10000.0</v>
      </c>
      <c r="C87" s="9">
        <v>120000.0</v>
      </c>
      <c r="D87" s="8"/>
      <c r="E87" s="8" t="s">
        <v>138</v>
      </c>
    </row>
    <row r="88" ht="14.25" customHeight="1">
      <c r="A88" s="8" t="s">
        <v>139</v>
      </c>
      <c r="B88" s="9">
        <v>5000.0</v>
      </c>
      <c r="C88" s="9">
        <v>60000.0</v>
      </c>
      <c r="D88" s="8"/>
      <c r="E88" s="8" t="s">
        <v>140</v>
      </c>
    </row>
    <row r="89" ht="14.25" customHeight="1">
      <c r="A89" s="8"/>
      <c r="B89" s="9"/>
      <c r="C89" s="9"/>
      <c r="D89" s="8"/>
      <c r="E89" s="8"/>
    </row>
    <row r="90" ht="14.25" customHeight="1">
      <c r="A90" s="10" t="s">
        <v>141</v>
      </c>
      <c r="B90" s="11"/>
      <c r="C90" s="11"/>
      <c r="D90" s="10"/>
      <c r="E90" s="10"/>
    </row>
    <row r="91" ht="14.25" customHeight="1">
      <c r="A91" s="8" t="s">
        <v>142</v>
      </c>
      <c r="B91" s="9">
        <v>50000.0</v>
      </c>
      <c r="C91" s="9">
        <v>600000.0</v>
      </c>
      <c r="D91" s="8"/>
      <c r="E91" s="8" t="s">
        <v>143</v>
      </c>
    </row>
    <row r="92" ht="14.25" customHeight="1">
      <c r="A92" s="8" t="s">
        <v>144</v>
      </c>
      <c r="B92" s="9">
        <v>15000.0</v>
      </c>
      <c r="C92" s="9">
        <v>180000.0</v>
      </c>
      <c r="D92" s="8"/>
      <c r="E92" s="8" t="s">
        <v>145</v>
      </c>
    </row>
    <row r="93" ht="14.25" customHeight="1">
      <c r="A93" s="8" t="s">
        <v>146</v>
      </c>
      <c r="B93" s="9">
        <v>20000.0</v>
      </c>
      <c r="C93" s="9">
        <v>240000.0</v>
      </c>
      <c r="D93" s="8"/>
      <c r="E93" s="8" t="s">
        <v>147</v>
      </c>
    </row>
    <row r="94" ht="14.25" customHeight="1">
      <c r="A94" s="8" t="s">
        <v>148</v>
      </c>
      <c r="B94" s="9">
        <v>15000.0</v>
      </c>
      <c r="C94" s="9">
        <v>180000.0</v>
      </c>
      <c r="D94" s="8"/>
      <c r="E94" s="8" t="s">
        <v>149</v>
      </c>
    </row>
    <row r="95" ht="14.25" customHeight="1">
      <c r="A95" s="8" t="s">
        <v>150</v>
      </c>
      <c r="B95" s="9">
        <v>30000.0</v>
      </c>
      <c r="C95" s="9">
        <v>360000.0</v>
      </c>
      <c r="D95" s="8"/>
      <c r="E95" s="8" t="s">
        <v>151</v>
      </c>
    </row>
    <row r="96" ht="14.25" customHeight="1">
      <c r="A96" s="8" t="s">
        <v>152</v>
      </c>
      <c r="B96" s="9">
        <v>10000.0</v>
      </c>
      <c r="C96" s="9">
        <v>120000.0</v>
      </c>
      <c r="D96" s="8"/>
      <c r="E96" s="8" t="s">
        <v>153</v>
      </c>
    </row>
    <row r="97" ht="14.25" customHeight="1">
      <c r="A97" s="8" t="s">
        <v>154</v>
      </c>
      <c r="B97" s="9">
        <v>15000.0</v>
      </c>
      <c r="C97" s="9">
        <v>180000.0</v>
      </c>
      <c r="D97" s="8"/>
      <c r="E97" s="8" t="s">
        <v>155</v>
      </c>
    </row>
    <row r="98" ht="14.25" customHeight="1">
      <c r="A98" s="8" t="s">
        <v>156</v>
      </c>
      <c r="B98" s="9">
        <v>10000.0</v>
      </c>
      <c r="C98" s="9">
        <v>120000.0</v>
      </c>
      <c r="D98" s="8"/>
      <c r="E98" s="8" t="s">
        <v>157</v>
      </c>
    </row>
    <row r="99" ht="14.25" customHeight="1">
      <c r="A99" s="10"/>
      <c r="B99" s="11"/>
      <c r="C99" s="11"/>
      <c r="D99" s="10"/>
      <c r="E99" s="10"/>
    </row>
    <row r="100" ht="14.25" customHeight="1">
      <c r="A100" s="8" t="s">
        <v>158</v>
      </c>
      <c r="B100" s="9"/>
      <c r="C100" s="9"/>
      <c r="D100" s="8"/>
      <c r="E100" s="8"/>
    </row>
    <row r="101" ht="14.25" customHeight="1">
      <c r="A101" s="8" t="s">
        <v>159</v>
      </c>
      <c r="B101" s="9">
        <v>40000.0</v>
      </c>
      <c r="C101" s="9">
        <v>480000.0</v>
      </c>
      <c r="D101" s="8"/>
      <c r="E101" s="8" t="s">
        <v>160</v>
      </c>
    </row>
    <row r="102" ht="14.25" customHeight="1">
      <c r="A102" s="8" t="s">
        <v>161</v>
      </c>
      <c r="B102" s="9">
        <v>25000.0</v>
      </c>
      <c r="C102" s="9">
        <v>300000.0</v>
      </c>
      <c r="D102" s="8"/>
      <c r="E102" s="8" t="s">
        <v>162</v>
      </c>
    </row>
    <row r="103" ht="14.25" customHeight="1">
      <c r="A103" s="8" t="s">
        <v>163</v>
      </c>
      <c r="B103" s="9">
        <v>5000.0</v>
      </c>
      <c r="C103" s="9">
        <v>60000.0</v>
      </c>
      <c r="D103" s="8"/>
      <c r="E103" s="8" t="s">
        <v>164</v>
      </c>
    </row>
    <row r="104" ht="14.25" customHeight="1">
      <c r="A104" s="8" t="s">
        <v>165</v>
      </c>
      <c r="B104" s="9">
        <v>5000.0</v>
      </c>
      <c r="C104" s="9">
        <v>60000.0</v>
      </c>
      <c r="D104" s="8"/>
      <c r="E104" s="8" t="s">
        <v>166</v>
      </c>
    </row>
    <row r="105" ht="14.25" customHeight="1">
      <c r="A105" s="8" t="s">
        <v>167</v>
      </c>
      <c r="B105" s="9">
        <v>10000.0</v>
      </c>
      <c r="C105" s="9">
        <v>120000.0</v>
      </c>
      <c r="D105" s="8"/>
      <c r="E105" s="8" t="s">
        <v>168</v>
      </c>
    </row>
    <row r="106" ht="14.25" customHeight="1">
      <c r="A106" s="8" t="s">
        <v>169</v>
      </c>
      <c r="B106" s="9">
        <v>8000.0</v>
      </c>
      <c r="C106" s="9">
        <v>96000.0</v>
      </c>
      <c r="D106" s="8"/>
      <c r="E106" s="8" t="s">
        <v>170</v>
      </c>
    </row>
    <row r="107" ht="14.25" customHeight="1">
      <c r="A107" s="8" t="s">
        <v>171</v>
      </c>
      <c r="B107" s="9">
        <v>5000.0</v>
      </c>
      <c r="C107" s="9">
        <v>60000.0</v>
      </c>
      <c r="D107" s="8"/>
      <c r="E107" s="8" t="s">
        <v>172</v>
      </c>
    </row>
    <row r="108" ht="14.25" customHeight="1">
      <c r="A108" s="10"/>
      <c r="B108" s="11"/>
      <c r="C108" s="11"/>
      <c r="D108" s="10"/>
      <c r="E108" s="10"/>
    </row>
    <row r="109" ht="14.25" customHeight="1">
      <c r="A109" s="8" t="s">
        <v>173</v>
      </c>
      <c r="B109" s="9"/>
      <c r="C109" s="9"/>
      <c r="D109" s="8"/>
      <c r="E109" s="8"/>
    </row>
    <row r="110" ht="14.25" customHeight="1">
      <c r="A110" s="8" t="s">
        <v>174</v>
      </c>
      <c r="B110" s="9">
        <v>5000.0</v>
      </c>
      <c r="C110" s="9">
        <v>60000.0</v>
      </c>
      <c r="D110" s="8"/>
      <c r="E110" s="8" t="s">
        <v>175</v>
      </c>
    </row>
    <row r="111" ht="14.25" customHeight="1">
      <c r="A111" s="8" t="s">
        <v>176</v>
      </c>
      <c r="B111" s="9">
        <v>5000.0</v>
      </c>
      <c r="C111" s="9">
        <v>60000.0</v>
      </c>
      <c r="D111" s="8"/>
      <c r="E111" s="8" t="s">
        <v>177</v>
      </c>
    </row>
    <row r="112" ht="14.25" customHeight="1">
      <c r="A112" s="8" t="s">
        <v>178</v>
      </c>
      <c r="B112" s="9">
        <v>10000.0</v>
      </c>
      <c r="C112" s="9">
        <v>120000.0</v>
      </c>
      <c r="D112" s="8"/>
      <c r="E112" s="8" t="s">
        <v>179</v>
      </c>
    </row>
    <row r="113" ht="14.25" customHeight="1">
      <c r="A113" s="8" t="s">
        <v>180</v>
      </c>
      <c r="B113" s="9">
        <v>15000.0</v>
      </c>
      <c r="C113" s="9">
        <v>180000.0</v>
      </c>
      <c r="D113" s="8"/>
      <c r="E113" s="8" t="s">
        <v>181</v>
      </c>
    </row>
    <row r="114" ht="14.25" customHeight="1">
      <c r="A114" s="8" t="s">
        <v>182</v>
      </c>
      <c r="B114" s="9">
        <v>10000.0</v>
      </c>
      <c r="C114" s="9">
        <v>120000.0</v>
      </c>
      <c r="D114" s="8"/>
      <c r="E114" s="8" t="s">
        <v>183</v>
      </c>
    </row>
    <row r="115" ht="14.25" customHeight="1">
      <c r="A115" s="8" t="s">
        <v>184</v>
      </c>
      <c r="B115" s="9">
        <v>3000.0</v>
      </c>
      <c r="C115" s="9">
        <v>36000.0</v>
      </c>
      <c r="D115" s="8"/>
      <c r="E115" s="8" t="s">
        <v>185</v>
      </c>
    </row>
    <row r="116" ht="14.25" customHeight="1">
      <c r="A116" s="10"/>
      <c r="B116" s="11"/>
      <c r="C116" s="11"/>
      <c r="D116" s="10"/>
      <c r="E116" s="10"/>
    </row>
    <row r="117" ht="14.25" customHeight="1">
      <c r="A117" s="8" t="s">
        <v>186</v>
      </c>
      <c r="B117" s="9"/>
      <c r="C117" s="9"/>
      <c r="D117" s="8"/>
      <c r="E117" s="8"/>
    </row>
    <row r="118" ht="14.25" customHeight="1">
      <c r="A118" s="8" t="s">
        <v>187</v>
      </c>
      <c r="B118" s="9">
        <v>5000.0</v>
      </c>
      <c r="C118" s="9">
        <v>60000.0</v>
      </c>
      <c r="D118" s="8"/>
      <c r="E118" s="8" t="s">
        <v>188</v>
      </c>
    </row>
    <row r="119" ht="14.25" customHeight="1">
      <c r="A119" s="8" t="s">
        <v>189</v>
      </c>
      <c r="B119" s="9">
        <v>20000.0</v>
      </c>
      <c r="C119" s="9">
        <v>240000.0</v>
      </c>
      <c r="D119" s="8"/>
      <c r="E119" s="8" t="s">
        <v>190</v>
      </c>
    </row>
    <row r="120" ht="14.25" customHeight="1">
      <c r="A120" s="8" t="s">
        <v>191</v>
      </c>
      <c r="B120" s="9">
        <v>15000.0</v>
      </c>
      <c r="C120" s="9">
        <v>180000.0</v>
      </c>
      <c r="D120" s="8"/>
      <c r="E120" s="8" t="s">
        <v>192</v>
      </c>
    </row>
    <row r="121" ht="14.25" customHeight="1">
      <c r="A121" s="8" t="s">
        <v>193</v>
      </c>
      <c r="B121" s="9">
        <v>10000.0</v>
      </c>
      <c r="C121" s="9">
        <v>120000.0</v>
      </c>
      <c r="D121" s="8"/>
      <c r="E121" s="8" t="s">
        <v>194</v>
      </c>
    </row>
    <row r="122" ht="14.25" customHeight="1">
      <c r="A122" s="10"/>
      <c r="B122" s="11"/>
      <c r="C122" s="11"/>
      <c r="D122" s="10"/>
      <c r="E122" s="10"/>
    </row>
    <row r="123" ht="14.25" customHeight="1">
      <c r="A123" s="8" t="s">
        <v>195</v>
      </c>
      <c r="B123" s="9"/>
      <c r="C123" s="9"/>
      <c r="D123" s="8"/>
      <c r="E123" s="8"/>
    </row>
    <row r="124" ht="14.25" customHeight="1">
      <c r="A124" s="8" t="s">
        <v>196</v>
      </c>
      <c r="B124" s="9">
        <v>10000.0</v>
      </c>
      <c r="C124" s="9">
        <v>120000.0</v>
      </c>
      <c r="D124" s="8"/>
      <c r="E124" s="8" t="s">
        <v>197</v>
      </c>
    </row>
    <row r="125" ht="14.25" customHeight="1">
      <c r="A125" s="8" t="s">
        <v>198</v>
      </c>
      <c r="B125" s="9">
        <v>5000.0</v>
      </c>
      <c r="C125" s="9">
        <v>60000.0</v>
      </c>
      <c r="D125" s="8"/>
      <c r="E125" s="8" t="s">
        <v>199</v>
      </c>
    </row>
    <row r="126" ht="14.25" customHeight="1">
      <c r="A126" s="8" t="s">
        <v>200</v>
      </c>
      <c r="B126" s="9">
        <v>3000.0</v>
      </c>
      <c r="C126" s="9">
        <v>36000.0</v>
      </c>
      <c r="D126" s="8"/>
      <c r="E126" s="8" t="s">
        <v>201</v>
      </c>
    </row>
    <row r="127" ht="14.25" customHeight="1">
      <c r="A127" s="8" t="s">
        <v>202</v>
      </c>
      <c r="B127" s="9">
        <v>50000.0</v>
      </c>
      <c r="C127" s="9">
        <v>600000.0</v>
      </c>
      <c r="D127" s="8"/>
      <c r="E127" s="8" t="s">
        <v>203</v>
      </c>
    </row>
    <row r="128" ht="14.25" customHeight="1">
      <c r="A128" s="8"/>
      <c r="B128" s="9"/>
      <c r="C128" s="9"/>
      <c r="D128" s="8"/>
      <c r="E128" s="8"/>
    </row>
    <row r="129" ht="14.25" customHeight="1">
      <c r="A129" s="8"/>
      <c r="B129" s="9"/>
      <c r="C129" s="9"/>
      <c r="D129" s="8"/>
      <c r="E129" s="8"/>
    </row>
    <row r="130" ht="14.25" customHeight="1">
      <c r="A130" s="12" t="s">
        <v>204</v>
      </c>
      <c r="B130" s="13"/>
      <c r="C130" s="13"/>
      <c r="D130" s="12"/>
      <c r="E130" s="12"/>
    </row>
    <row r="131" ht="14.25" customHeight="1">
      <c r="A131" s="8"/>
      <c r="B131" s="9"/>
      <c r="C131" s="9"/>
      <c r="D131" s="8"/>
      <c r="E131" s="8"/>
    </row>
    <row r="132" ht="14.25" customHeight="1">
      <c r="A132" s="14" t="s">
        <v>205</v>
      </c>
      <c r="B132" s="15"/>
      <c r="C132" s="15"/>
      <c r="D132" s="14"/>
      <c r="E132" s="14"/>
    </row>
    <row r="133" ht="14.25" customHeight="1">
      <c r="A133" s="8" t="s">
        <v>206</v>
      </c>
      <c r="B133" s="9">
        <v>400000.0</v>
      </c>
      <c r="C133" s="9">
        <v>4800000.0</v>
      </c>
      <c r="D133" s="8"/>
      <c r="E133" s="8" t="s">
        <v>207</v>
      </c>
    </row>
    <row r="134" ht="14.25" customHeight="1">
      <c r="A134" s="8" t="s">
        <v>208</v>
      </c>
      <c r="B134" s="9">
        <v>100000.0</v>
      </c>
      <c r="C134" s="9">
        <v>1200000.0</v>
      </c>
      <c r="D134" s="8"/>
      <c r="E134" s="8" t="s">
        <v>209</v>
      </c>
    </row>
    <row r="135" ht="14.25" customHeight="1">
      <c r="A135" s="8" t="s">
        <v>210</v>
      </c>
      <c r="B135" s="9">
        <v>80000.0</v>
      </c>
      <c r="C135" s="9">
        <v>960000.0</v>
      </c>
      <c r="D135" s="8"/>
      <c r="E135" s="8" t="s">
        <v>211</v>
      </c>
    </row>
    <row r="136" ht="14.25" customHeight="1">
      <c r="A136" s="8" t="s">
        <v>212</v>
      </c>
      <c r="B136" s="9">
        <v>60000.0</v>
      </c>
      <c r="C136" s="9">
        <v>720000.0</v>
      </c>
      <c r="D136" s="8"/>
      <c r="E136" s="8" t="s">
        <v>213</v>
      </c>
    </row>
    <row r="137" ht="14.25" customHeight="1">
      <c r="A137" s="8" t="s">
        <v>214</v>
      </c>
      <c r="B137" s="9">
        <v>50000.0</v>
      </c>
      <c r="C137" s="9">
        <v>600000.0</v>
      </c>
      <c r="D137" s="8"/>
      <c r="E137" s="8" t="s">
        <v>215</v>
      </c>
    </row>
    <row r="138" ht="14.25" customHeight="1">
      <c r="A138" s="8" t="s">
        <v>216</v>
      </c>
      <c r="B138" s="9">
        <v>40000.0</v>
      </c>
      <c r="C138" s="9">
        <v>480000.0</v>
      </c>
      <c r="D138" s="8"/>
      <c r="E138" s="8" t="s">
        <v>217</v>
      </c>
    </row>
    <row r="139" ht="14.25" customHeight="1">
      <c r="A139" s="8" t="s">
        <v>218</v>
      </c>
      <c r="B139" s="9">
        <v>30000.0</v>
      </c>
      <c r="C139" s="9">
        <v>360000.0</v>
      </c>
      <c r="D139" s="8"/>
      <c r="E139" s="8" t="s">
        <v>219</v>
      </c>
    </row>
    <row r="140" ht="14.25" customHeight="1">
      <c r="A140" s="8" t="s">
        <v>220</v>
      </c>
      <c r="B140" s="9">
        <v>25000.0</v>
      </c>
      <c r="C140" s="9">
        <v>300000.0</v>
      </c>
      <c r="D140" s="8"/>
      <c r="E140" s="8" t="s">
        <v>221</v>
      </c>
    </row>
    <row r="141" ht="14.25" customHeight="1">
      <c r="A141" s="8" t="s">
        <v>222</v>
      </c>
      <c r="B141" s="9">
        <v>50000.0</v>
      </c>
      <c r="C141" s="9">
        <v>600000.0</v>
      </c>
      <c r="D141" s="8"/>
      <c r="E141" s="8" t="s">
        <v>223</v>
      </c>
    </row>
    <row r="142" ht="14.25" customHeight="1">
      <c r="A142" s="8" t="s">
        <v>224</v>
      </c>
      <c r="B142" s="9">
        <v>40000.0</v>
      </c>
      <c r="C142" s="9">
        <v>480000.0</v>
      </c>
      <c r="D142" s="8"/>
      <c r="E142" s="8" t="s">
        <v>225</v>
      </c>
    </row>
    <row r="143" ht="14.25" customHeight="1">
      <c r="A143" s="8" t="s">
        <v>226</v>
      </c>
      <c r="B143" s="9">
        <v>60000.0</v>
      </c>
      <c r="C143" s="9">
        <v>720000.0</v>
      </c>
      <c r="D143" s="8"/>
      <c r="E143" s="8" t="s">
        <v>227</v>
      </c>
    </row>
    <row r="144" ht="14.25" customHeight="1">
      <c r="A144" s="8" t="s">
        <v>228</v>
      </c>
      <c r="B144" s="9">
        <v>20000.0</v>
      </c>
      <c r="C144" s="9">
        <v>240000.0</v>
      </c>
      <c r="D144" s="8"/>
      <c r="E144" s="8" t="s">
        <v>229</v>
      </c>
    </row>
    <row r="145" ht="14.25" customHeight="1">
      <c r="A145" s="8" t="s">
        <v>230</v>
      </c>
      <c r="B145" s="9">
        <v>15000.0</v>
      </c>
      <c r="C145" s="9">
        <v>180000.0</v>
      </c>
      <c r="D145" s="8"/>
      <c r="E145" s="8" t="s">
        <v>231</v>
      </c>
    </row>
    <row r="146" ht="14.25" customHeight="1">
      <c r="A146" s="8" t="s">
        <v>232</v>
      </c>
      <c r="B146" s="9">
        <v>20000.0</v>
      </c>
      <c r="C146" s="9">
        <v>240000.0</v>
      </c>
      <c r="D146" s="8"/>
      <c r="E146" s="8" t="s">
        <v>233</v>
      </c>
    </row>
    <row r="147" ht="14.25" customHeight="1">
      <c r="A147" s="8" t="s">
        <v>234</v>
      </c>
      <c r="B147" s="9">
        <v>25000.0</v>
      </c>
      <c r="C147" s="9">
        <v>300000.0</v>
      </c>
      <c r="D147" s="8"/>
      <c r="E147" s="8" t="s">
        <v>235</v>
      </c>
    </row>
    <row r="148" ht="14.25" customHeight="1">
      <c r="A148" s="8" t="s">
        <v>236</v>
      </c>
      <c r="B148" s="9">
        <v>30000.0</v>
      </c>
      <c r="C148" s="9">
        <v>360000.0</v>
      </c>
      <c r="D148" s="8"/>
      <c r="E148" s="8" t="s">
        <v>237</v>
      </c>
    </row>
    <row r="149" ht="14.25" customHeight="1">
      <c r="A149" s="14"/>
      <c r="B149" s="15"/>
      <c r="C149" s="15"/>
      <c r="D149" s="14"/>
      <c r="E149" s="14"/>
    </row>
    <row r="150" ht="14.25" customHeight="1">
      <c r="A150" s="8" t="s">
        <v>238</v>
      </c>
      <c r="B150" s="9"/>
      <c r="C150" s="9"/>
      <c r="D150" s="8"/>
      <c r="E150" s="8"/>
    </row>
    <row r="151" ht="14.25" customHeight="1">
      <c r="A151" s="8" t="s">
        <v>239</v>
      </c>
      <c r="B151" s="9">
        <v>150000.0</v>
      </c>
      <c r="C151" s="9">
        <v>1800000.0</v>
      </c>
      <c r="D151" s="8"/>
      <c r="E151" s="8" t="s">
        <v>240</v>
      </c>
    </row>
    <row r="152" ht="14.25" customHeight="1">
      <c r="A152" s="8" t="s">
        <v>241</v>
      </c>
      <c r="B152" s="9">
        <v>80000.0</v>
      </c>
      <c r="C152" s="9">
        <v>960000.0</v>
      </c>
      <c r="D152" s="8"/>
      <c r="E152" s="8" t="s">
        <v>242</v>
      </c>
    </row>
    <row r="153" ht="14.25" customHeight="1">
      <c r="A153" s="8" t="s">
        <v>243</v>
      </c>
      <c r="B153" s="9">
        <v>100000.0</v>
      </c>
      <c r="C153" s="9">
        <v>1200000.0</v>
      </c>
      <c r="D153" s="8"/>
      <c r="E153" s="8" t="s">
        <v>244</v>
      </c>
    </row>
    <row r="154" ht="14.25" customHeight="1">
      <c r="A154" s="8" t="s">
        <v>245</v>
      </c>
      <c r="B154" s="9">
        <v>50000.0</v>
      </c>
      <c r="C154" s="9">
        <v>600000.0</v>
      </c>
      <c r="D154" s="8"/>
      <c r="E154" s="8" t="s">
        <v>246</v>
      </c>
    </row>
    <row r="155" ht="14.25" customHeight="1">
      <c r="A155" s="8" t="s">
        <v>247</v>
      </c>
      <c r="B155" s="9">
        <v>60000.0</v>
      </c>
      <c r="C155" s="9">
        <v>720000.0</v>
      </c>
      <c r="D155" s="8"/>
      <c r="E155" s="8" t="s">
        <v>248</v>
      </c>
    </row>
    <row r="156" ht="14.25" customHeight="1">
      <c r="A156" s="8" t="s">
        <v>249</v>
      </c>
      <c r="B156" s="9">
        <v>40000.0</v>
      </c>
      <c r="C156" s="9">
        <v>480000.0</v>
      </c>
      <c r="D156" s="8"/>
      <c r="E156" s="8" t="s">
        <v>250</v>
      </c>
    </row>
    <row r="157" ht="14.25" customHeight="1">
      <c r="A157" s="8" t="s">
        <v>251</v>
      </c>
      <c r="B157" s="9">
        <v>80000.0</v>
      </c>
      <c r="C157" s="9">
        <v>960000.0</v>
      </c>
      <c r="D157" s="8"/>
      <c r="E157" s="8" t="s">
        <v>252</v>
      </c>
    </row>
    <row r="158" ht="14.25" customHeight="1">
      <c r="A158" s="8" t="s">
        <v>253</v>
      </c>
      <c r="B158" s="9">
        <v>30000.0</v>
      </c>
      <c r="C158" s="9">
        <v>360000.0</v>
      </c>
      <c r="D158" s="8"/>
      <c r="E158" s="8" t="s">
        <v>254</v>
      </c>
    </row>
    <row r="159" ht="14.25" customHeight="1">
      <c r="A159" s="8"/>
      <c r="B159" s="9"/>
      <c r="C159" s="9"/>
      <c r="D159" s="8"/>
      <c r="E159" s="8"/>
    </row>
    <row r="160" ht="14.25" customHeight="1">
      <c r="A160" s="14" t="s">
        <v>255</v>
      </c>
      <c r="B160" s="15"/>
      <c r="C160" s="15"/>
      <c r="D160" s="14"/>
      <c r="E160" s="14"/>
    </row>
    <row r="161" ht="14.25" customHeight="1">
      <c r="A161" s="8" t="s">
        <v>256</v>
      </c>
      <c r="B161" s="9">
        <v>15000.0</v>
      </c>
      <c r="C161" s="9">
        <v>180000.0</v>
      </c>
      <c r="D161" s="8"/>
      <c r="E161" s="8" t="s">
        <v>257</v>
      </c>
    </row>
    <row r="162" ht="14.25" customHeight="1">
      <c r="A162" s="8" t="s">
        <v>258</v>
      </c>
      <c r="B162" s="9">
        <v>10000.0</v>
      </c>
      <c r="C162" s="9">
        <v>120000.0</v>
      </c>
      <c r="D162" s="8"/>
      <c r="E162" s="8" t="s">
        <v>259</v>
      </c>
    </row>
    <row r="163" ht="14.25" customHeight="1">
      <c r="A163" s="8" t="s">
        <v>260</v>
      </c>
      <c r="B163" s="9">
        <v>5000.0</v>
      </c>
      <c r="C163" s="9">
        <v>60000.0</v>
      </c>
      <c r="D163" s="8"/>
      <c r="E163" s="8" t="s">
        <v>261</v>
      </c>
    </row>
    <row r="164" ht="14.25" customHeight="1">
      <c r="A164" s="8" t="s">
        <v>262</v>
      </c>
      <c r="B164" s="9">
        <v>3000.0</v>
      </c>
      <c r="C164" s="9">
        <v>36000.0</v>
      </c>
      <c r="D164" s="8"/>
      <c r="E164" s="8" t="s">
        <v>263</v>
      </c>
    </row>
    <row r="165" ht="14.25" customHeight="1">
      <c r="A165" s="8" t="s">
        <v>264</v>
      </c>
      <c r="B165" s="9">
        <v>5000.0</v>
      </c>
      <c r="C165" s="9">
        <v>60000.0</v>
      </c>
      <c r="D165" s="8"/>
      <c r="E165" s="8" t="s">
        <v>265</v>
      </c>
    </row>
    <row r="166" ht="14.25" customHeight="1">
      <c r="A166" s="8" t="s">
        <v>266</v>
      </c>
      <c r="B166" s="9">
        <v>3000.0</v>
      </c>
      <c r="C166" s="9">
        <v>36000.0</v>
      </c>
      <c r="D166" s="8"/>
      <c r="E166" s="8" t="s">
        <v>267</v>
      </c>
    </row>
    <row r="167" ht="14.25" customHeight="1">
      <c r="A167" s="8" t="s">
        <v>268</v>
      </c>
      <c r="B167" s="9">
        <v>2000.0</v>
      </c>
      <c r="C167" s="9">
        <v>24000.0</v>
      </c>
      <c r="D167" s="8"/>
      <c r="E167" s="8" t="s">
        <v>269</v>
      </c>
    </row>
    <row r="168" ht="14.25" customHeight="1">
      <c r="A168" s="8" t="s">
        <v>270</v>
      </c>
      <c r="B168" s="9">
        <v>10000.0</v>
      </c>
      <c r="C168" s="9">
        <v>120000.0</v>
      </c>
      <c r="D168" s="8"/>
      <c r="E168" s="8" t="s">
        <v>271</v>
      </c>
    </row>
    <row r="169" ht="14.25" customHeight="1">
      <c r="A169" s="8" t="s">
        <v>272</v>
      </c>
      <c r="B169" s="9">
        <v>30000.0</v>
      </c>
      <c r="C169" s="9">
        <v>360000.0</v>
      </c>
      <c r="D169" s="8"/>
      <c r="E169" s="8" t="s">
        <v>273</v>
      </c>
    </row>
    <row r="170" ht="14.25" customHeight="1">
      <c r="A170" s="8" t="s">
        <v>274</v>
      </c>
      <c r="B170" s="9">
        <v>15000.0</v>
      </c>
      <c r="C170" s="9">
        <v>180000.0</v>
      </c>
      <c r="D170" s="8"/>
      <c r="E170" s="8" t="s">
        <v>275</v>
      </c>
    </row>
    <row r="171" ht="14.25" customHeight="1">
      <c r="A171" s="14"/>
      <c r="B171" s="15"/>
      <c r="C171" s="15"/>
      <c r="D171" s="14"/>
      <c r="E171" s="14"/>
    </row>
    <row r="172" ht="14.25" customHeight="1">
      <c r="A172" s="8" t="s">
        <v>276</v>
      </c>
      <c r="B172" s="9"/>
      <c r="C172" s="9"/>
      <c r="D172" s="8"/>
      <c r="E172" s="8"/>
    </row>
    <row r="173" ht="14.25" customHeight="1">
      <c r="A173" s="8" t="s">
        <v>277</v>
      </c>
      <c r="B173" s="9">
        <v>0.0</v>
      </c>
      <c r="C173" s="9">
        <v>100000.0</v>
      </c>
      <c r="D173" s="8"/>
      <c r="E173" s="8" t="s">
        <v>278</v>
      </c>
    </row>
    <row r="174" ht="14.25" customHeight="1">
      <c r="A174" s="8" t="s">
        <v>279</v>
      </c>
      <c r="B174" s="9">
        <v>0.0</v>
      </c>
      <c r="C174" s="9">
        <v>50000.0</v>
      </c>
      <c r="D174" s="8"/>
      <c r="E174" s="8" t="s">
        <v>280</v>
      </c>
    </row>
    <row r="175" ht="14.25" customHeight="1">
      <c r="A175" s="8" t="s">
        <v>281</v>
      </c>
      <c r="B175" s="9">
        <v>0.0</v>
      </c>
      <c r="C175" s="9">
        <v>50000.0</v>
      </c>
      <c r="D175" s="8"/>
      <c r="E175" s="8" t="s">
        <v>282</v>
      </c>
    </row>
    <row r="176" ht="14.25" customHeight="1">
      <c r="A176" s="8" t="s">
        <v>283</v>
      </c>
      <c r="B176" s="9">
        <v>0.0</v>
      </c>
      <c r="C176" s="9">
        <v>30000.0</v>
      </c>
      <c r="D176" s="8"/>
      <c r="E176" s="8" t="s">
        <v>284</v>
      </c>
    </row>
    <row r="177" ht="14.25" customHeight="1">
      <c r="A177" s="8"/>
      <c r="B177" s="9"/>
      <c r="C177" s="9"/>
      <c r="D177" s="8"/>
      <c r="E177" s="8"/>
    </row>
    <row r="178" ht="14.25" customHeight="1">
      <c r="A178" s="8"/>
      <c r="B178" s="9"/>
      <c r="C178" s="9"/>
      <c r="D178" s="8"/>
      <c r="E178" s="8"/>
    </row>
    <row r="179" ht="14.25" customHeight="1">
      <c r="A179" s="8"/>
      <c r="B179" s="9"/>
      <c r="C179" s="9"/>
      <c r="D179" s="8"/>
      <c r="E179" s="8"/>
    </row>
    <row r="180" ht="14.25" customHeight="1">
      <c r="A180" s="16" t="s">
        <v>285</v>
      </c>
      <c r="B180" s="17"/>
      <c r="C180" s="17"/>
      <c r="D180" s="16"/>
      <c r="E180" s="16"/>
    </row>
    <row r="181" ht="14.25" customHeight="1">
      <c r="A181" s="8"/>
      <c r="B181" s="9"/>
      <c r="C181" s="9"/>
      <c r="D181" s="8"/>
      <c r="E181" s="8"/>
    </row>
    <row r="182" ht="14.25" customHeight="1">
      <c r="A182" s="18" t="s">
        <v>286</v>
      </c>
      <c r="B182" s="19"/>
      <c r="C182" s="19"/>
      <c r="D182" s="18"/>
      <c r="E182" s="18"/>
    </row>
    <row r="183" ht="14.25" customHeight="1">
      <c r="A183" s="8" t="s">
        <v>287</v>
      </c>
      <c r="B183" s="9"/>
      <c r="C183" s="9">
        <f>SUM(C8:C14)</f>
        <v>1060000</v>
      </c>
      <c r="D183" s="8"/>
      <c r="E183" s="8" t="s">
        <v>288</v>
      </c>
    </row>
    <row r="184" ht="14.25" customHeight="1">
      <c r="A184" s="8" t="s">
        <v>289</v>
      </c>
      <c r="B184" s="9"/>
      <c r="C184" s="9">
        <f>SUM(C17:C22)</f>
        <v>1600000</v>
      </c>
      <c r="D184" s="8"/>
      <c r="E184" s="8" t="s">
        <v>290</v>
      </c>
    </row>
    <row r="185" ht="14.25" customHeight="1">
      <c r="A185" s="8" t="s">
        <v>291</v>
      </c>
      <c r="B185" s="9"/>
      <c r="C185" s="9">
        <f>SUM(C25:C29)</f>
        <v>1720000</v>
      </c>
      <c r="D185" s="8"/>
      <c r="E185" s="8" t="s">
        <v>292</v>
      </c>
    </row>
    <row r="186" ht="14.25" customHeight="1">
      <c r="A186" s="8" t="s">
        <v>293</v>
      </c>
      <c r="B186" s="9"/>
      <c r="C186" s="9">
        <f>SUM(C32:C37)</f>
        <v>530000</v>
      </c>
      <c r="D186" s="8"/>
      <c r="E186" s="8" t="s">
        <v>294</v>
      </c>
    </row>
    <row r="187" ht="14.25" customHeight="1">
      <c r="A187" s="8" t="s">
        <v>295</v>
      </c>
      <c r="B187" s="9"/>
      <c r="C187" s="9">
        <f>SUM(C40:C45)</f>
        <v>120000</v>
      </c>
      <c r="D187" s="8"/>
      <c r="E187" s="8" t="s">
        <v>296</v>
      </c>
    </row>
    <row r="188" ht="14.25" customHeight="1">
      <c r="A188" s="8" t="s">
        <v>297</v>
      </c>
      <c r="B188" s="9"/>
      <c r="C188" s="9">
        <f>SUM(C48:C51)</f>
        <v>425000</v>
      </c>
      <c r="D188" s="8"/>
      <c r="E188" s="8" t="s">
        <v>298</v>
      </c>
    </row>
    <row r="189" ht="14.25" customHeight="1">
      <c r="A189" s="20" t="s">
        <v>299</v>
      </c>
      <c r="B189" s="21"/>
      <c r="C189" s="21">
        <f>SUM(C183:C188)</f>
        <v>5455000</v>
      </c>
      <c r="D189" s="20"/>
      <c r="E189" s="20" t="s">
        <v>300</v>
      </c>
    </row>
    <row r="190" ht="14.25" customHeight="1">
      <c r="A190" s="8"/>
      <c r="B190" s="9"/>
      <c r="C190" s="9"/>
      <c r="D190" s="8"/>
      <c r="E190" s="8"/>
    </row>
    <row r="191" ht="14.25" customHeight="1">
      <c r="A191" s="18" t="s">
        <v>301</v>
      </c>
      <c r="B191" s="19"/>
      <c r="C191" s="19"/>
      <c r="D191" s="18"/>
      <c r="E191" s="18"/>
    </row>
    <row r="192" ht="14.25" customHeight="1">
      <c r="A192" s="8" t="s">
        <v>302</v>
      </c>
      <c r="B192" s="9"/>
      <c r="C192" s="9">
        <f>SUM(C56:C60)</f>
        <v>5364000</v>
      </c>
      <c r="D192" s="8"/>
      <c r="E192" s="8" t="s">
        <v>303</v>
      </c>
    </row>
    <row r="193" ht="14.25" customHeight="1">
      <c r="A193" s="8" t="s">
        <v>304</v>
      </c>
      <c r="B193" s="9"/>
      <c r="C193" s="9">
        <f>SUM(C63:C71)</f>
        <v>4440000</v>
      </c>
      <c r="D193" s="8"/>
      <c r="E193" s="8" t="s">
        <v>305</v>
      </c>
    </row>
    <row r="194" ht="14.25" customHeight="1">
      <c r="A194" s="8" t="s">
        <v>306</v>
      </c>
      <c r="B194" s="9"/>
      <c r="C194" s="9">
        <f>SUM(C74:C79)</f>
        <v>1716000</v>
      </c>
      <c r="D194" s="8"/>
      <c r="E194" s="8" t="s">
        <v>307</v>
      </c>
    </row>
    <row r="195" ht="14.25" customHeight="1">
      <c r="A195" s="8" t="s">
        <v>308</v>
      </c>
      <c r="B195" s="9"/>
      <c r="C195" s="9">
        <f>SUM(C82:C88)</f>
        <v>756000</v>
      </c>
      <c r="D195" s="8"/>
      <c r="E195" s="8" t="s">
        <v>309</v>
      </c>
    </row>
    <row r="196" ht="14.25" customHeight="1">
      <c r="A196" s="8" t="s">
        <v>310</v>
      </c>
      <c r="B196" s="9"/>
      <c r="C196" s="9">
        <f>SUM(C91:C98)</f>
        <v>1980000</v>
      </c>
      <c r="D196" s="8"/>
      <c r="E196" s="8" t="s">
        <v>311</v>
      </c>
    </row>
    <row r="197" ht="14.25" customHeight="1">
      <c r="A197" s="8" t="s">
        <v>312</v>
      </c>
      <c r="B197" s="9"/>
      <c r="C197" s="9">
        <f>SUM(C100:C106)</f>
        <v>1116000</v>
      </c>
      <c r="D197" s="8"/>
      <c r="E197" s="8" t="s">
        <v>313</v>
      </c>
    </row>
    <row r="198" ht="14.25" customHeight="1">
      <c r="A198" s="8" t="s">
        <v>314</v>
      </c>
      <c r="B198" s="9"/>
      <c r="C198" s="9">
        <f>SUM(C109:C114)</f>
        <v>540000</v>
      </c>
      <c r="D198" s="8"/>
      <c r="E198" s="8" t="s">
        <v>315</v>
      </c>
    </row>
    <row r="199" ht="14.25" customHeight="1">
      <c r="A199" s="8" t="s">
        <v>316</v>
      </c>
      <c r="B199" s="9"/>
      <c r="C199" s="9">
        <f>SUM(C117:C120)</f>
        <v>480000</v>
      </c>
      <c r="D199" s="8"/>
      <c r="E199" s="8" t="s">
        <v>317</v>
      </c>
    </row>
    <row r="200" ht="14.25" customHeight="1">
      <c r="A200" s="8" t="s">
        <v>318</v>
      </c>
      <c r="B200" s="9"/>
      <c r="C200" s="9">
        <f>SUM(C123:C126)</f>
        <v>216000</v>
      </c>
      <c r="D200" s="8"/>
      <c r="E200" s="8" t="s">
        <v>319</v>
      </c>
    </row>
    <row r="201" ht="14.25" customHeight="1">
      <c r="A201" s="20" t="s">
        <v>320</v>
      </c>
      <c r="B201" s="21"/>
      <c r="C201" s="21">
        <f>SUM(C192:C200)</f>
        <v>16608000</v>
      </c>
      <c r="D201" s="20"/>
      <c r="E201" s="20" t="s">
        <v>321</v>
      </c>
    </row>
    <row r="202" ht="14.25" customHeight="1">
      <c r="A202" s="8"/>
      <c r="B202" s="9"/>
      <c r="C202" s="9"/>
      <c r="D202" s="8"/>
      <c r="E202" s="8"/>
    </row>
    <row r="203" ht="14.25" customHeight="1">
      <c r="A203" s="18" t="s">
        <v>322</v>
      </c>
      <c r="B203" s="19"/>
      <c r="C203" s="19"/>
      <c r="D203" s="18"/>
      <c r="E203" s="18"/>
    </row>
    <row r="204" ht="14.25" customHeight="1">
      <c r="A204" s="8" t="s">
        <v>323</v>
      </c>
      <c r="B204" s="9"/>
      <c r="C204" s="9">
        <f>SUM(C134:C147)</f>
        <v>7380000</v>
      </c>
      <c r="D204" s="8"/>
      <c r="E204" s="8" t="s">
        <v>324</v>
      </c>
    </row>
    <row r="205" ht="14.25" customHeight="1">
      <c r="A205" s="8" t="s">
        <v>325</v>
      </c>
      <c r="B205" s="9"/>
      <c r="C205" s="9">
        <f>SUM(C150:C157)</f>
        <v>6720000</v>
      </c>
      <c r="D205" s="8"/>
      <c r="E205" s="8" t="s">
        <v>326</v>
      </c>
    </row>
    <row r="206" ht="14.25" customHeight="1">
      <c r="A206" s="8" t="s">
        <v>327</v>
      </c>
      <c r="B206" s="9"/>
      <c r="C206" s="9">
        <f>SUM(C161:C170)</f>
        <v>1176000</v>
      </c>
      <c r="D206" s="8"/>
      <c r="E206" s="8" t="s">
        <v>328</v>
      </c>
    </row>
    <row r="207" ht="14.25" customHeight="1">
      <c r="A207" s="8" t="s">
        <v>329</v>
      </c>
      <c r="B207" s="9"/>
      <c r="C207" s="9">
        <f>SUM(C172:C175)</f>
        <v>200000</v>
      </c>
      <c r="D207" s="8"/>
      <c r="E207" s="8" t="s">
        <v>330</v>
      </c>
    </row>
    <row r="208" ht="14.25" customHeight="1">
      <c r="A208" s="20" t="s">
        <v>331</v>
      </c>
      <c r="B208" s="21"/>
      <c r="C208" s="21">
        <f>SUM(C204:C207)</f>
        <v>15476000</v>
      </c>
      <c r="D208" s="20"/>
      <c r="E208" s="20" t="s">
        <v>332</v>
      </c>
    </row>
    <row r="209" ht="14.25" customHeight="1">
      <c r="A209" s="8"/>
      <c r="B209" s="9"/>
      <c r="C209" s="9"/>
      <c r="D209" s="8"/>
      <c r="E209" s="8"/>
    </row>
    <row r="210" ht="14.25" customHeight="1">
      <c r="A210" s="18" t="s">
        <v>333</v>
      </c>
      <c r="B210" s="19"/>
      <c r="C210" s="19"/>
      <c r="D210" s="18"/>
      <c r="E210" s="18"/>
    </row>
    <row r="211" ht="14.25" customHeight="1">
      <c r="A211" s="8" t="s">
        <v>334</v>
      </c>
      <c r="B211" s="9"/>
      <c r="C211" s="9">
        <f>C208-C192</f>
        <v>10112000</v>
      </c>
      <c r="D211" s="8"/>
      <c r="E211" s="8" t="s">
        <v>335</v>
      </c>
    </row>
    <row r="212" ht="14.25" customHeight="1">
      <c r="A212" s="8" t="s">
        <v>336</v>
      </c>
      <c r="B212" s="9"/>
      <c r="C212" s="9">
        <f>C208-C201</f>
        <v>-1132000</v>
      </c>
      <c r="D212" s="8"/>
      <c r="E212" s="8" t="s">
        <v>337</v>
      </c>
    </row>
    <row r="213" ht="14.25" customHeight="1">
      <c r="A213" s="8" t="s">
        <v>338</v>
      </c>
      <c r="B213" s="9"/>
      <c r="C213" s="9">
        <f>IF(C208&gt;0,C212/C208,0)</f>
        <v>-0.07314551564</v>
      </c>
      <c r="D213" s="22"/>
      <c r="E213" s="8" t="s">
        <v>339</v>
      </c>
    </row>
    <row r="214" ht="14.25" customHeight="1">
      <c r="A214" s="8" t="s">
        <v>340</v>
      </c>
      <c r="B214" s="9"/>
      <c r="C214" s="9">
        <f>C201</f>
        <v>16608000</v>
      </c>
      <c r="D214" s="8"/>
      <c r="E214" s="8" t="s">
        <v>341</v>
      </c>
    </row>
    <row r="215" ht="14.25" customHeight="1">
      <c r="A215" s="8" t="s">
        <v>342</v>
      </c>
      <c r="B215" s="9"/>
      <c r="C215" s="23">
        <f>IF(C212&gt;0,C189/C212,0)</f>
        <v>0</v>
      </c>
      <c r="D215" s="8"/>
      <c r="E215" s="8" t="s">
        <v>343</v>
      </c>
    </row>
    <row r="216" ht="14.25" customHeight="1">
      <c r="A216" s="8" t="s">
        <v>344</v>
      </c>
      <c r="B216" s="9"/>
      <c r="C216" s="9">
        <f>C197/500</f>
        <v>2232</v>
      </c>
      <c r="D216" s="8"/>
      <c r="E216" s="8" t="s">
        <v>345</v>
      </c>
    </row>
    <row r="217" ht="14.25" customHeight="1">
      <c r="A217" s="24"/>
      <c r="B217" s="25"/>
      <c r="C217" s="25"/>
      <c r="D217" s="24"/>
      <c r="E217" s="24"/>
    </row>
    <row r="218" ht="14.25" customHeight="1">
      <c r="B218" s="26"/>
      <c r="C218" s="26"/>
    </row>
    <row r="219" ht="14.25" customHeight="1">
      <c r="B219" s="26"/>
      <c r="C219" s="26"/>
    </row>
    <row r="220" ht="14.25" customHeight="1">
      <c r="B220" s="26"/>
      <c r="C220" s="26"/>
    </row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63"/>
    <col customWidth="1" min="2" max="2" width="50.75"/>
    <col customWidth="1" min="3" max="3" width="20.63"/>
    <col customWidth="1" min="4" max="4" width="18.63"/>
    <col customWidth="1" min="5" max="5" width="39.13"/>
    <col customWidth="1" min="6" max="26" width="8.63"/>
  </cols>
  <sheetData>
    <row r="1" ht="14.25" customHeight="1">
      <c r="A1" s="27" t="s">
        <v>2</v>
      </c>
      <c r="B1" s="27" t="s">
        <v>6</v>
      </c>
      <c r="C1" s="27" t="s">
        <v>346</v>
      </c>
      <c r="D1" s="27" t="s">
        <v>347</v>
      </c>
      <c r="E1" s="27" t="s">
        <v>348</v>
      </c>
    </row>
    <row r="2" ht="14.25" customHeight="1">
      <c r="A2" s="28" t="s">
        <v>7</v>
      </c>
      <c r="B2" s="28"/>
      <c r="C2" s="28"/>
      <c r="D2" s="28"/>
      <c r="E2" s="28"/>
    </row>
    <row r="3" ht="14.25" customHeight="1">
      <c r="A3" s="29"/>
      <c r="B3" s="29"/>
      <c r="C3" s="29"/>
      <c r="D3" s="29"/>
      <c r="E3" s="29"/>
    </row>
    <row r="4" ht="14.25" customHeight="1">
      <c r="A4" s="30" t="s">
        <v>8</v>
      </c>
      <c r="B4" s="30"/>
      <c r="C4" s="30"/>
      <c r="D4" s="30"/>
      <c r="E4" s="30"/>
    </row>
    <row r="5" ht="14.25" customHeight="1">
      <c r="A5" s="29" t="s">
        <v>9</v>
      </c>
      <c r="B5" s="29" t="s">
        <v>10</v>
      </c>
      <c r="C5" s="31" t="s">
        <v>349</v>
      </c>
      <c r="D5" s="29"/>
      <c r="E5" s="29"/>
    </row>
    <row r="6" ht="14.25" customHeight="1">
      <c r="A6" s="29" t="s">
        <v>11</v>
      </c>
      <c r="B6" s="29" t="s">
        <v>12</v>
      </c>
      <c r="C6" s="31" t="s">
        <v>349</v>
      </c>
      <c r="D6" s="29"/>
      <c r="E6" s="29"/>
    </row>
    <row r="7" ht="14.25" customHeight="1">
      <c r="A7" s="29" t="s">
        <v>13</v>
      </c>
      <c r="B7" s="29" t="s">
        <v>14</v>
      </c>
      <c r="C7" s="31" t="s">
        <v>349</v>
      </c>
      <c r="D7" s="29"/>
      <c r="E7" s="29"/>
    </row>
    <row r="8" ht="14.25" customHeight="1">
      <c r="A8" s="29" t="s">
        <v>15</v>
      </c>
      <c r="B8" s="29" t="s">
        <v>16</v>
      </c>
      <c r="C8" s="31" t="s">
        <v>349</v>
      </c>
      <c r="D8" s="29"/>
      <c r="E8" s="29"/>
    </row>
    <row r="9" ht="14.25" customHeight="1">
      <c r="A9" s="29" t="s">
        <v>17</v>
      </c>
      <c r="B9" s="29" t="s">
        <v>18</v>
      </c>
      <c r="C9" s="31" t="s">
        <v>349</v>
      </c>
      <c r="D9" s="29"/>
      <c r="E9" s="29"/>
    </row>
    <row r="10" ht="14.25" customHeight="1">
      <c r="A10" s="29" t="s">
        <v>19</v>
      </c>
      <c r="B10" s="29" t="s">
        <v>20</v>
      </c>
      <c r="C10" s="31" t="s">
        <v>349</v>
      </c>
      <c r="D10" s="29"/>
      <c r="E10" s="29"/>
    </row>
    <row r="11" ht="14.25" customHeight="1">
      <c r="A11" s="29" t="s">
        <v>21</v>
      </c>
      <c r="B11" s="29" t="s">
        <v>22</v>
      </c>
      <c r="C11" s="31" t="s">
        <v>349</v>
      </c>
      <c r="D11" s="29"/>
      <c r="E11" s="29"/>
    </row>
    <row r="12" ht="14.25" customHeight="1">
      <c r="A12" s="29"/>
      <c r="B12" s="29"/>
      <c r="C12" s="29"/>
      <c r="D12" s="29"/>
      <c r="E12" s="29"/>
    </row>
    <row r="13" ht="14.25" customHeight="1">
      <c r="A13" s="30" t="s">
        <v>23</v>
      </c>
      <c r="B13" s="30"/>
      <c r="C13" s="30"/>
      <c r="D13" s="30"/>
      <c r="E13" s="30"/>
    </row>
    <row r="14" ht="14.25" customHeight="1">
      <c r="A14" s="29" t="s">
        <v>24</v>
      </c>
      <c r="B14" s="29" t="s">
        <v>25</v>
      </c>
      <c r="C14" s="32" t="s">
        <v>349</v>
      </c>
      <c r="D14" s="29"/>
      <c r="E14" s="29"/>
    </row>
    <row r="15" ht="14.25" customHeight="1">
      <c r="A15" s="29" t="s">
        <v>26</v>
      </c>
      <c r="B15" s="29" t="s">
        <v>27</v>
      </c>
      <c r="C15" s="32" t="s">
        <v>350</v>
      </c>
      <c r="D15" s="29"/>
      <c r="E15" s="29"/>
    </row>
    <row r="16" ht="14.25" customHeight="1">
      <c r="A16" s="29" t="s">
        <v>28</v>
      </c>
      <c r="B16" s="29" t="s">
        <v>29</v>
      </c>
      <c r="C16" s="32" t="s">
        <v>350</v>
      </c>
      <c r="D16" s="29"/>
      <c r="E16" s="29"/>
    </row>
    <row r="17" ht="14.25" customHeight="1">
      <c r="A17" s="29" t="s">
        <v>30</v>
      </c>
      <c r="B17" s="29" t="s">
        <v>31</v>
      </c>
      <c r="C17" s="32" t="s">
        <v>350</v>
      </c>
      <c r="D17" s="29"/>
      <c r="E17" s="29"/>
    </row>
    <row r="18" ht="14.25" customHeight="1">
      <c r="A18" s="29" t="s">
        <v>32</v>
      </c>
      <c r="B18" s="29" t="s">
        <v>33</v>
      </c>
      <c r="C18" s="32" t="s">
        <v>350</v>
      </c>
      <c r="D18" s="29"/>
      <c r="E18" s="29"/>
    </row>
    <row r="19" ht="14.25" customHeight="1">
      <c r="A19" s="29" t="s">
        <v>34</v>
      </c>
      <c r="B19" s="29" t="s">
        <v>35</v>
      </c>
      <c r="C19" s="32" t="s">
        <v>350</v>
      </c>
      <c r="D19" s="29"/>
      <c r="E19" s="29"/>
    </row>
    <row r="20" ht="14.25" customHeight="1">
      <c r="A20" s="29"/>
      <c r="B20" s="29"/>
      <c r="C20" s="29"/>
      <c r="D20" s="29"/>
      <c r="E20" s="29"/>
    </row>
    <row r="21" ht="14.25" customHeight="1">
      <c r="A21" s="30" t="s">
        <v>36</v>
      </c>
      <c r="B21" s="30"/>
      <c r="C21" s="30"/>
      <c r="D21" s="30"/>
      <c r="E21" s="30"/>
    </row>
    <row r="22" ht="14.25" customHeight="1">
      <c r="A22" s="29" t="s">
        <v>37</v>
      </c>
      <c r="B22" s="29" t="s">
        <v>351</v>
      </c>
      <c r="C22" s="32" t="s">
        <v>349</v>
      </c>
      <c r="D22" s="29"/>
      <c r="E22" s="29"/>
    </row>
    <row r="23" ht="14.25" customHeight="1">
      <c r="A23" s="29" t="s">
        <v>39</v>
      </c>
      <c r="B23" s="29" t="s">
        <v>40</v>
      </c>
      <c r="C23" s="32" t="s">
        <v>350</v>
      </c>
      <c r="D23" s="29"/>
      <c r="E23" s="29"/>
    </row>
    <row r="24" ht="14.25" customHeight="1">
      <c r="A24" s="29" t="s">
        <v>41</v>
      </c>
      <c r="B24" s="29" t="s">
        <v>42</v>
      </c>
      <c r="C24" s="32" t="s">
        <v>349</v>
      </c>
      <c r="D24" s="29"/>
      <c r="E24" s="29"/>
    </row>
    <row r="25" ht="14.25" customHeight="1">
      <c r="A25" s="29" t="s">
        <v>43</v>
      </c>
      <c r="B25" s="29" t="s">
        <v>44</v>
      </c>
      <c r="C25" s="32" t="s">
        <v>349</v>
      </c>
      <c r="D25" s="29"/>
      <c r="E25" s="29"/>
    </row>
    <row r="26" ht="14.25" customHeight="1">
      <c r="A26" s="29" t="s">
        <v>45</v>
      </c>
      <c r="B26" s="29" t="s">
        <v>46</v>
      </c>
      <c r="C26" s="32" t="s">
        <v>350</v>
      </c>
      <c r="D26" s="29"/>
      <c r="E26" s="29"/>
    </row>
    <row r="27" ht="14.25" customHeight="1">
      <c r="A27" s="29"/>
      <c r="B27" s="29"/>
      <c r="C27" s="29"/>
      <c r="D27" s="29"/>
      <c r="E27" s="29"/>
    </row>
    <row r="28" ht="14.25" customHeight="1">
      <c r="A28" s="30" t="s">
        <v>47</v>
      </c>
      <c r="B28" s="30"/>
      <c r="C28" s="30"/>
      <c r="D28" s="30"/>
      <c r="E28" s="30"/>
    </row>
    <row r="29" ht="14.25" customHeight="1">
      <c r="A29" s="29" t="s">
        <v>48</v>
      </c>
      <c r="B29" s="29" t="s">
        <v>49</v>
      </c>
      <c r="C29" s="32" t="s">
        <v>349</v>
      </c>
      <c r="D29" s="29"/>
      <c r="E29" s="29"/>
    </row>
    <row r="30" ht="14.25" customHeight="1">
      <c r="A30" s="29" t="s">
        <v>50</v>
      </c>
      <c r="B30" s="29" t="s">
        <v>51</v>
      </c>
      <c r="C30" s="32" t="s">
        <v>349</v>
      </c>
      <c r="D30" s="29"/>
      <c r="E30" s="29"/>
    </row>
    <row r="31" ht="14.25" customHeight="1">
      <c r="A31" s="29" t="s">
        <v>52</v>
      </c>
      <c r="B31" s="29" t="s">
        <v>53</v>
      </c>
      <c r="C31" s="32" t="s">
        <v>349</v>
      </c>
      <c r="D31" s="29"/>
      <c r="E31" s="29"/>
    </row>
    <row r="32" ht="14.25" customHeight="1">
      <c r="A32" s="29" t="s">
        <v>54</v>
      </c>
      <c r="B32" s="29" t="s">
        <v>55</v>
      </c>
      <c r="C32" s="32" t="s">
        <v>349</v>
      </c>
      <c r="D32" s="29"/>
      <c r="E32" s="29"/>
    </row>
    <row r="33" ht="14.25" customHeight="1">
      <c r="A33" s="29" t="s">
        <v>56</v>
      </c>
      <c r="B33" s="29" t="s">
        <v>57</v>
      </c>
      <c r="C33" s="32" t="s">
        <v>350</v>
      </c>
      <c r="D33" s="29"/>
      <c r="E33" s="29"/>
    </row>
    <row r="34" ht="14.25" customHeight="1">
      <c r="A34" s="29" t="s">
        <v>58</v>
      </c>
      <c r="B34" s="29" t="s">
        <v>59</v>
      </c>
      <c r="C34" s="32" t="s">
        <v>350</v>
      </c>
      <c r="D34" s="29"/>
      <c r="E34" s="29"/>
    </row>
    <row r="35" ht="14.25" customHeight="1">
      <c r="A35" s="29"/>
      <c r="B35" s="29"/>
      <c r="C35" s="29"/>
      <c r="D35" s="29"/>
      <c r="E35" s="29"/>
    </row>
    <row r="36" ht="14.25" customHeight="1">
      <c r="A36" s="30" t="s">
        <v>60</v>
      </c>
      <c r="B36" s="30"/>
      <c r="C36" s="30"/>
      <c r="D36" s="30"/>
      <c r="E36" s="30"/>
    </row>
    <row r="37" ht="14.25" customHeight="1">
      <c r="A37" s="29" t="s">
        <v>61</v>
      </c>
      <c r="B37" s="29" t="s">
        <v>62</v>
      </c>
      <c r="C37" s="32" t="s">
        <v>349</v>
      </c>
      <c r="D37" s="29"/>
      <c r="E37" s="29"/>
    </row>
    <row r="38" ht="14.25" customHeight="1">
      <c r="A38" s="29" t="s">
        <v>63</v>
      </c>
      <c r="B38" s="29" t="s">
        <v>352</v>
      </c>
      <c r="C38" s="32" t="s">
        <v>350</v>
      </c>
      <c r="D38" s="29"/>
      <c r="E38" s="29"/>
    </row>
    <row r="39" ht="14.25" customHeight="1">
      <c r="A39" s="29" t="s">
        <v>65</v>
      </c>
      <c r="B39" s="29" t="s">
        <v>66</v>
      </c>
      <c r="C39" s="32" t="s">
        <v>349</v>
      </c>
      <c r="D39" s="29"/>
      <c r="E39" s="29"/>
    </row>
    <row r="40" ht="14.25" customHeight="1">
      <c r="A40" s="29" t="s">
        <v>67</v>
      </c>
      <c r="B40" s="29" t="s">
        <v>68</v>
      </c>
      <c r="C40" s="32" t="s">
        <v>349</v>
      </c>
      <c r="D40" s="29"/>
      <c r="E40" s="29"/>
    </row>
    <row r="41" ht="14.25" customHeight="1">
      <c r="A41" s="29" t="s">
        <v>69</v>
      </c>
      <c r="B41" s="29" t="s">
        <v>70</v>
      </c>
      <c r="C41" s="32" t="s">
        <v>350</v>
      </c>
      <c r="D41" s="29"/>
      <c r="E41" s="29"/>
    </row>
    <row r="42" ht="14.25" customHeight="1">
      <c r="A42" s="29" t="s">
        <v>71</v>
      </c>
      <c r="B42" s="29" t="s">
        <v>72</v>
      </c>
      <c r="C42" s="32" t="s">
        <v>350</v>
      </c>
      <c r="D42" s="29"/>
      <c r="E42" s="29"/>
    </row>
    <row r="43" ht="14.25" customHeight="1">
      <c r="A43" s="29"/>
      <c r="B43" s="29"/>
      <c r="C43" s="29"/>
      <c r="D43" s="29"/>
      <c r="E43" s="29"/>
    </row>
    <row r="44" ht="14.25" customHeight="1">
      <c r="A44" s="30" t="s">
        <v>73</v>
      </c>
      <c r="B44" s="30"/>
      <c r="C44" s="30"/>
      <c r="D44" s="30"/>
      <c r="E44" s="30"/>
    </row>
    <row r="45" ht="14.25" customHeight="1">
      <c r="A45" s="29" t="s">
        <v>74</v>
      </c>
      <c r="B45" s="29" t="s">
        <v>75</v>
      </c>
      <c r="C45" s="32" t="s">
        <v>349</v>
      </c>
      <c r="D45" s="29"/>
      <c r="E45" s="29"/>
    </row>
    <row r="46" ht="14.25" customHeight="1">
      <c r="A46" s="29" t="s">
        <v>76</v>
      </c>
      <c r="B46" s="29" t="s">
        <v>77</v>
      </c>
      <c r="C46" s="32" t="s">
        <v>349</v>
      </c>
      <c r="D46" s="29"/>
      <c r="E46" s="29"/>
    </row>
    <row r="47" ht="14.25" customHeight="1">
      <c r="A47" s="29" t="s">
        <v>78</v>
      </c>
      <c r="B47" s="29" t="s">
        <v>79</v>
      </c>
      <c r="C47" s="32" t="s">
        <v>349</v>
      </c>
      <c r="D47" s="29"/>
      <c r="E47" s="29"/>
    </row>
    <row r="48" ht="14.25" customHeight="1">
      <c r="A48" s="29" t="s">
        <v>80</v>
      </c>
      <c r="B48" s="29" t="s">
        <v>81</v>
      </c>
      <c r="C48" s="32" t="s">
        <v>350</v>
      </c>
      <c r="D48" s="29"/>
      <c r="E48" s="29"/>
    </row>
    <row r="49" ht="14.25" customHeight="1">
      <c r="A49" s="29"/>
      <c r="B49" s="29"/>
      <c r="C49" s="29"/>
      <c r="D49" s="29"/>
      <c r="E49" s="29"/>
    </row>
    <row r="50" ht="14.25" customHeight="1">
      <c r="A50" s="28" t="s">
        <v>82</v>
      </c>
      <c r="B50" s="28"/>
      <c r="C50" s="28"/>
      <c r="D50" s="28"/>
      <c r="E50" s="28"/>
    </row>
    <row r="51" ht="14.25" customHeight="1">
      <c r="A51" s="29"/>
      <c r="B51" s="29"/>
      <c r="C51" s="29"/>
      <c r="D51" s="29"/>
      <c r="E51" s="29"/>
    </row>
    <row r="52" ht="14.25" customHeight="1">
      <c r="A52" s="30" t="s">
        <v>83</v>
      </c>
      <c r="B52" s="30"/>
      <c r="C52" s="30"/>
      <c r="D52" s="30"/>
      <c r="E52" s="30"/>
    </row>
    <row r="53" ht="14.25" customHeight="1">
      <c r="A53" s="32" t="s">
        <v>84</v>
      </c>
      <c r="B53" s="29" t="s">
        <v>85</v>
      </c>
      <c r="C53" s="32" t="s">
        <v>350</v>
      </c>
      <c r="D53" s="29"/>
      <c r="E53" s="29"/>
    </row>
    <row r="54" ht="14.25" customHeight="1">
      <c r="A54" s="32" t="s">
        <v>86</v>
      </c>
      <c r="B54" s="29" t="s">
        <v>87</v>
      </c>
      <c r="C54" s="32" t="s">
        <v>350</v>
      </c>
      <c r="D54" s="29"/>
      <c r="E54" s="29"/>
    </row>
    <row r="55" ht="14.25" customHeight="1">
      <c r="A55" s="29" t="s">
        <v>88</v>
      </c>
      <c r="B55" s="29" t="s">
        <v>89</v>
      </c>
      <c r="C55" s="32" t="s">
        <v>350</v>
      </c>
      <c r="D55" s="29"/>
      <c r="E55" s="29"/>
    </row>
    <row r="56" ht="14.25" customHeight="1">
      <c r="A56" s="29" t="s">
        <v>90</v>
      </c>
      <c r="B56" s="29" t="s">
        <v>91</v>
      </c>
      <c r="C56" s="32" t="s">
        <v>349</v>
      </c>
      <c r="D56" s="29"/>
      <c r="E56" s="29"/>
    </row>
    <row r="57" ht="14.25" customHeight="1">
      <c r="A57" s="29" t="s">
        <v>92</v>
      </c>
      <c r="B57" s="29" t="s">
        <v>93</v>
      </c>
      <c r="C57" s="32" t="s">
        <v>350</v>
      </c>
      <c r="D57" s="29"/>
      <c r="E57" s="29"/>
    </row>
    <row r="58" ht="14.25" customHeight="1">
      <c r="A58" s="29"/>
      <c r="B58" s="29"/>
      <c r="C58" s="29"/>
      <c r="D58" s="29"/>
      <c r="E58" s="29"/>
    </row>
    <row r="59" ht="14.25" customHeight="1">
      <c r="A59" s="30" t="s">
        <v>94</v>
      </c>
      <c r="B59" s="30"/>
      <c r="C59" s="30"/>
      <c r="D59" s="30"/>
      <c r="E59" s="30"/>
    </row>
    <row r="60" ht="14.25" customHeight="1">
      <c r="A60" s="29" t="s">
        <v>95</v>
      </c>
      <c r="B60" s="29" t="s">
        <v>96</v>
      </c>
      <c r="C60" s="32" t="s">
        <v>350</v>
      </c>
      <c r="D60" s="29"/>
      <c r="E60" s="29"/>
    </row>
    <row r="61" ht="14.25" customHeight="1">
      <c r="A61" s="29" t="s">
        <v>353</v>
      </c>
      <c r="B61" s="29" t="s">
        <v>354</v>
      </c>
      <c r="C61" s="32" t="s">
        <v>349</v>
      </c>
      <c r="D61" s="29"/>
      <c r="E61" s="29"/>
    </row>
    <row r="62" ht="14.25" customHeight="1">
      <c r="A62" s="29" t="s">
        <v>99</v>
      </c>
      <c r="B62" s="29"/>
      <c r="C62" s="32" t="s">
        <v>350</v>
      </c>
      <c r="D62" s="29"/>
      <c r="E62" s="29"/>
    </row>
    <row r="63" ht="14.25" customHeight="1">
      <c r="A63" s="29" t="s">
        <v>101</v>
      </c>
      <c r="B63" s="29"/>
      <c r="C63" s="32" t="s">
        <v>349</v>
      </c>
      <c r="D63" s="29"/>
      <c r="E63" s="29"/>
    </row>
    <row r="64" ht="14.25" customHeight="1">
      <c r="A64" s="29" t="s">
        <v>103</v>
      </c>
      <c r="B64" s="29"/>
      <c r="C64" s="32" t="s">
        <v>350</v>
      </c>
      <c r="D64" s="29"/>
      <c r="E64" s="29"/>
    </row>
    <row r="65" ht="14.25" customHeight="1">
      <c r="A65" s="29" t="s">
        <v>105</v>
      </c>
      <c r="B65" s="29" t="s">
        <v>106</v>
      </c>
      <c r="C65" s="32" t="s">
        <v>350</v>
      </c>
      <c r="D65" s="29"/>
      <c r="E65" s="29"/>
    </row>
    <row r="66" ht="14.25" customHeight="1">
      <c r="A66" s="29" t="s">
        <v>107</v>
      </c>
      <c r="B66" s="29" t="s">
        <v>108</v>
      </c>
      <c r="C66" s="32" t="s">
        <v>350</v>
      </c>
      <c r="D66" s="29"/>
      <c r="E66" s="29"/>
    </row>
    <row r="67" ht="14.25" customHeight="1">
      <c r="A67" s="29" t="s">
        <v>109</v>
      </c>
      <c r="B67" s="29" t="s">
        <v>110</v>
      </c>
      <c r="C67" s="32" t="s">
        <v>350</v>
      </c>
      <c r="D67" s="29"/>
      <c r="E67" s="29"/>
    </row>
    <row r="68" ht="14.25" customHeight="1">
      <c r="A68" s="29" t="s">
        <v>111</v>
      </c>
      <c r="B68" s="29" t="s">
        <v>112</v>
      </c>
      <c r="C68" s="32" t="s">
        <v>350</v>
      </c>
      <c r="D68" s="29"/>
      <c r="E68" s="29"/>
    </row>
    <row r="69" ht="14.25" customHeight="1">
      <c r="A69" s="29"/>
      <c r="B69" s="29"/>
      <c r="C69" s="29"/>
      <c r="D69" s="29"/>
      <c r="E69" s="29"/>
    </row>
    <row r="70" ht="14.25" customHeight="1">
      <c r="A70" s="30" t="s">
        <v>113</v>
      </c>
      <c r="B70" s="30"/>
      <c r="C70" s="30"/>
      <c r="D70" s="30"/>
      <c r="E70" s="30"/>
    </row>
    <row r="71" ht="14.25" customHeight="1">
      <c r="A71" s="29" t="s">
        <v>114</v>
      </c>
      <c r="B71" s="29" t="s">
        <v>115</v>
      </c>
      <c r="C71" s="32" t="s">
        <v>349</v>
      </c>
      <c r="D71" s="29"/>
      <c r="E71" s="29"/>
    </row>
    <row r="72" ht="14.25" customHeight="1">
      <c r="A72" s="29" t="s">
        <v>116</v>
      </c>
      <c r="B72" s="29" t="s">
        <v>117</v>
      </c>
      <c r="C72" s="32" t="s">
        <v>350</v>
      </c>
      <c r="D72" s="29"/>
      <c r="E72" s="29"/>
    </row>
    <row r="73" ht="14.25" customHeight="1">
      <c r="A73" s="29" t="s">
        <v>118</v>
      </c>
      <c r="B73" s="29" t="s">
        <v>119</v>
      </c>
      <c r="C73" s="32" t="s">
        <v>350</v>
      </c>
      <c r="D73" s="29"/>
      <c r="E73" s="29"/>
    </row>
    <row r="74" ht="14.25" customHeight="1">
      <c r="A74" s="29" t="s">
        <v>120</v>
      </c>
      <c r="B74" s="29" t="s">
        <v>121</v>
      </c>
      <c r="C74" s="32" t="s">
        <v>350</v>
      </c>
      <c r="D74" s="29"/>
      <c r="E74" s="29"/>
    </row>
    <row r="75" ht="14.25" customHeight="1">
      <c r="A75" s="29" t="s">
        <v>122</v>
      </c>
      <c r="B75" s="29" t="s">
        <v>123</v>
      </c>
      <c r="C75" s="32" t="s">
        <v>350</v>
      </c>
      <c r="D75" s="29"/>
      <c r="E75" s="29"/>
    </row>
    <row r="76" ht="14.25" customHeight="1">
      <c r="A76" s="29" t="s">
        <v>124</v>
      </c>
      <c r="B76" s="29" t="s">
        <v>125</v>
      </c>
      <c r="C76" s="32" t="s">
        <v>350</v>
      </c>
      <c r="D76" s="29"/>
      <c r="E76" s="29"/>
    </row>
    <row r="77" ht="14.25" customHeight="1">
      <c r="A77" s="29"/>
      <c r="B77" s="29"/>
      <c r="C77" s="29"/>
      <c r="D77" s="29"/>
      <c r="E77" s="29"/>
    </row>
    <row r="78" ht="14.25" customHeight="1">
      <c r="A78" s="30" t="s">
        <v>126</v>
      </c>
      <c r="B78" s="30"/>
      <c r="C78" s="30"/>
      <c r="D78" s="30"/>
      <c r="E78" s="30"/>
    </row>
    <row r="79" ht="14.25" customHeight="1">
      <c r="A79" s="29" t="s">
        <v>127</v>
      </c>
      <c r="B79" s="29" t="s">
        <v>128</v>
      </c>
      <c r="C79" s="32" t="s">
        <v>349</v>
      </c>
      <c r="D79" s="29"/>
      <c r="E79" s="29"/>
    </row>
    <row r="80" ht="14.25" customHeight="1">
      <c r="A80" s="32" t="s">
        <v>129</v>
      </c>
      <c r="B80" s="29" t="s">
        <v>130</v>
      </c>
      <c r="C80" s="32" t="s">
        <v>350</v>
      </c>
      <c r="D80" s="29"/>
      <c r="E80" s="29"/>
    </row>
    <row r="81" ht="14.25" customHeight="1">
      <c r="A81" s="29" t="s">
        <v>131</v>
      </c>
      <c r="B81" s="29" t="s">
        <v>132</v>
      </c>
      <c r="C81" s="32" t="s">
        <v>349</v>
      </c>
      <c r="D81" s="29"/>
      <c r="E81" s="29"/>
    </row>
    <row r="82" ht="14.25" customHeight="1">
      <c r="A82" s="29" t="s">
        <v>133</v>
      </c>
      <c r="B82" s="29" t="s">
        <v>134</v>
      </c>
      <c r="C82" s="32" t="s">
        <v>349</v>
      </c>
      <c r="D82" s="29"/>
      <c r="E82" s="29"/>
    </row>
    <row r="83" ht="14.25" customHeight="1">
      <c r="A83" s="29" t="s">
        <v>135</v>
      </c>
      <c r="B83" s="29" t="s">
        <v>136</v>
      </c>
      <c r="C83" s="32" t="s">
        <v>349</v>
      </c>
      <c r="D83" s="29"/>
      <c r="E83" s="29"/>
    </row>
    <row r="84" ht="14.25" customHeight="1">
      <c r="A84" s="29" t="s">
        <v>137</v>
      </c>
      <c r="B84" s="29" t="s">
        <v>138</v>
      </c>
      <c r="C84" s="32" t="s">
        <v>350</v>
      </c>
      <c r="D84" s="29"/>
      <c r="E84" s="29"/>
    </row>
    <row r="85" ht="14.25" customHeight="1">
      <c r="A85" s="29" t="s">
        <v>139</v>
      </c>
      <c r="B85" s="29" t="s">
        <v>140</v>
      </c>
      <c r="C85" s="32" t="s">
        <v>349</v>
      </c>
      <c r="D85" s="29"/>
      <c r="E85" s="29"/>
    </row>
    <row r="86" ht="14.25" customHeight="1">
      <c r="A86" s="29"/>
      <c r="B86" s="29"/>
      <c r="C86" s="29"/>
      <c r="D86" s="29"/>
      <c r="E86" s="29"/>
    </row>
    <row r="87" ht="14.25" customHeight="1">
      <c r="A87" s="30" t="s">
        <v>141</v>
      </c>
      <c r="B87" s="30"/>
      <c r="C87" s="30"/>
      <c r="D87" s="30"/>
      <c r="E87" s="30"/>
    </row>
    <row r="88" ht="14.25" customHeight="1">
      <c r="A88" s="29" t="s">
        <v>142</v>
      </c>
      <c r="B88" s="29" t="s">
        <v>143</v>
      </c>
      <c r="C88" s="32" t="s">
        <v>349</v>
      </c>
      <c r="D88" s="29"/>
      <c r="E88" s="29"/>
    </row>
    <row r="89" ht="14.25" customHeight="1">
      <c r="A89" s="29" t="s">
        <v>144</v>
      </c>
      <c r="B89" s="29" t="s">
        <v>145</v>
      </c>
      <c r="C89" s="32" t="s">
        <v>349</v>
      </c>
      <c r="D89" s="29"/>
      <c r="E89" s="29"/>
    </row>
    <row r="90" ht="14.25" customHeight="1">
      <c r="A90" s="29" t="s">
        <v>146</v>
      </c>
      <c r="B90" s="29" t="s">
        <v>147</v>
      </c>
      <c r="C90" s="32" t="s">
        <v>349</v>
      </c>
      <c r="D90" s="29"/>
      <c r="E90" s="29"/>
    </row>
    <row r="91" ht="14.25" customHeight="1">
      <c r="A91" s="29" t="s">
        <v>148</v>
      </c>
      <c r="B91" s="29" t="s">
        <v>149</v>
      </c>
      <c r="C91" s="32" t="s">
        <v>349</v>
      </c>
      <c r="D91" s="29"/>
      <c r="E91" s="29"/>
    </row>
    <row r="92" ht="14.25" customHeight="1">
      <c r="A92" s="29" t="s">
        <v>150</v>
      </c>
      <c r="B92" s="29" t="s">
        <v>151</v>
      </c>
      <c r="C92" s="32" t="s">
        <v>349</v>
      </c>
      <c r="D92" s="29"/>
      <c r="E92" s="29"/>
    </row>
    <row r="93" ht="14.25" customHeight="1">
      <c r="A93" s="29" t="s">
        <v>152</v>
      </c>
      <c r="B93" s="29" t="s">
        <v>153</v>
      </c>
      <c r="C93" s="32" t="s">
        <v>349</v>
      </c>
      <c r="D93" s="29"/>
      <c r="E93" s="29"/>
    </row>
    <row r="94" ht="14.25" customHeight="1">
      <c r="A94" s="29" t="s">
        <v>154</v>
      </c>
      <c r="B94" s="29" t="s">
        <v>155</v>
      </c>
      <c r="C94" s="32" t="s">
        <v>350</v>
      </c>
      <c r="D94" s="29"/>
      <c r="E94" s="29"/>
    </row>
    <row r="95" ht="14.25" customHeight="1">
      <c r="A95" s="29" t="s">
        <v>156</v>
      </c>
      <c r="B95" s="29" t="s">
        <v>157</v>
      </c>
      <c r="C95" s="32" t="s">
        <v>349</v>
      </c>
      <c r="D95" s="29"/>
      <c r="E95" s="29"/>
    </row>
    <row r="96" ht="14.25" customHeight="1">
      <c r="A96" s="30"/>
      <c r="B96" s="30"/>
      <c r="C96" s="30"/>
      <c r="D96" s="30"/>
      <c r="E96" s="30"/>
    </row>
    <row r="97" ht="14.25" customHeight="1">
      <c r="A97" s="29" t="s">
        <v>158</v>
      </c>
      <c r="B97" s="29"/>
      <c r="C97" s="29"/>
      <c r="D97" s="29"/>
      <c r="E97" s="29"/>
    </row>
    <row r="98" ht="14.25" customHeight="1">
      <c r="A98" s="29" t="s">
        <v>159</v>
      </c>
      <c r="B98" s="29" t="s">
        <v>160</v>
      </c>
      <c r="C98" s="32" t="s">
        <v>349</v>
      </c>
      <c r="D98" s="29"/>
      <c r="E98" s="29"/>
    </row>
    <row r="99" ht="14.25" customHeight="1">
      <c r="A99" s="29" t="s">
        <v>161</v>
      </c>
      <c r="B99" s="29" t="s">
        <v>162</v>
      </c>
      <c r="C99" s="32" t="s">
        <v>349</v>
      </c>
      <c r="D99" s="29"/>
      <c r="E99" s="29"/>
    </row>
    <row r="100" ht="14.25" customHeight="1">
      <c r="A100" s="29" t="s">
        <v>163</v>
      </c>
      <c r="B100" s="29" t="s">
        <v>164</v>
      </c>
      <c r="C100" s="32" t="s">
        <v>350</v>
      </c>
      <c r="D100" s="29"/>
      <c r="E100" s="29"/>
    </row>
    <row r="101" ht="14.25" customHeight="1">
      <c r="A101" s="29" t="s">
        <v>165</v>
      </c>
      <c r="B101" s="29" t="s">
        <v>166</v>
      </c>
      <c r="C101" s="32" t="s">
        <v>349</v>
      </c>
      <c r="D101" s="29"/>
      <c r="E101" s="29"/>
    </row>
    <row r="102" ht="14.25" customHeight="1">
      <c r="A102" s="29" t="s">
        <v>167</v>
      </c>
      <c r="B102" s="29" t="s">
        <v>168</v>
      </c>
      <c r="C102" s="32" t="s">
        <v>350</v>
      </c>
      <c r="D102" s="29"/>
      <c r="E102" s="29"/>
    </row>
    <row r="103" ht="14.25" customHeight="1">
      <c r="A103" s="29" t="s">
        <v>169</v>
      </c>
      <c r="B103" s="29" t="s">
        <v>170</v>
      </c>
      <c r="C103" s="32" t="s">
        <v>349</v>
      </c>
      <c r="D103" s="29"/>
      <c r="E103" s="29"/>
    </row>
    <row r="104" ht="14.25" customHeight="1">
      <c r="A104" s="29" t="s">
        <v>171</v>
      </c>
      <c r="B104" s="29" t="s">
        <v>172</v>
      </c>
      <c r="C104" s="32" t="s">
        <v>349</v>
      </c>
      <c r="D104" s="29"/>
      <c r="E104" s="29"/>
    </row>
    <row r="105" ht="14.25" customHeight="1">
      <c r="A105" s="30"/>
      <c r="B105" s="30"/>
      <c r="C105" s="30"/>
      <c r="D105" s="30"/>
      <c r="E105" s="30"/>
    </row>
    <row r="106" ht="14.25" customHeight="1">
      <c r="A106" s="29" t="s">
        <v>173</v>
      </c>
      <c r="B106" s="29"/>
      <c r="C106" s="29"/>
      <c r="D106" s="29"/>
      <c r="E106" s="29"/>
    </row>
    <row r="107" ht="14.25" customHeight="1">
      <c r="A107" s="29" t="s">
        <v>174</v>
      </c>
      <c r="B107" s="29" t="s">
        <v>175</v>
      </c>
      <c r="C107" s="32" t="s">
        <v>349</v>
      </c>
      <c r="D107" s="29"/>
      <c r="E107" s="29"/>
    </row>
    <row r="108" ht="14.25" customHeight="1">
      <c r="A108" s="29" t="s">
        <v>176</v>
      </c>
      <c r="B108" s="29" t="s">
        <v>177</v>
      </c>
      <c r="C108" s="32" t="s">
        <v>349</v>
      </c>
      <c r="D108" s="29"/>
      <c r="E108" s="29"/>
    </row>
    <row r="109" ht="14.25" customHeight="1">
      <c r="A109" s="29" t="s">
        <v>178</v>
      </c>
      <c r="B109" s="29" t="s">
        <v>179</v>
      </c>
      <c r="C109" s="32" t="s">
        <v>349</v>
      </c>
      <c r="D109" s="29"/>
      <c r="E109" s="29"/>
    </row>
    <row r="110" ht="14.25" customHeight="1">
      <c r="A110" s="29" t="s">
        <v>180</v>
      </c>
      <c r="B110" s="29" t="s">
        <v>181</v>
      </c>
      <c r="C110" s="32" t="s">
        <v>349</v>
      </c>
      <c r="D110" s="29"/>
      <c r="E110" s="29"/>
    </row>
    <row r="111" ht="14.25" customHeight="1">
      <c r="A111" s="29" t="s">
        <v>182</v>
      </c>
      <c r="B111" s="29" t="s">
        <v>183</v>
      </c>
      <c r="C111" s="32" t="s">
        <v>350</v>
      </c>
      <c r="D111" s="29"/>
      <c r="E111" s="29"/>
    </row>
    <row r="112" ht="14.25" customHeight="1">
      <c r="A112" s="29" t="s">
        <v>184</v>
      </c>
      <c r="B112" s="29" t="s">
        <v>185</v>
      </c>
      <c r="C112" s="32" t="s">
        <v>350</v>
      </c>
      <c r="D112" s="29"/>
      <c r="E112" s="29"/>
    </row>
    <row r="113" ht="14.25" customHeight="1">
      <c r="A113" s="30"/>
      <c r="B113" s="30"/>
      <c r="C113" s="30"/>
      <c r="D113" s="30"/>
      <c r="E113" s="30"/>
    </row>
    <row r="114" ht="14.25" customHeight="1">
      <c r="A114" s="29" t="s">
        <v>186</v>
      </c>
      <c r="B114" s="29"/>
      <c r="C114" s="29"/>
      <c r="D114" s="29"/>
      <c r="E114" s="29"/>
    </row>
    <row r="115" ht="14.25" customHeight="1">
      <c r="A115" s="29" t="s">
        <v>187</v>
      </c>
      <c r="B115" s="29" t="s">
        <v>188</v>
      </c>
      <c r="C115" s="32" t="s">
        <v>349</v>
      </c>
      <c r="D115" s="29"/>
      <c r="E115" s="29"/>
    </row>
    <row r="116" ht="14.25" customHeight="1">
      <c r="A116" s="29" t="s">
        <v>189</v>
      </c>
      <c r="B116" s="29" t="s">
        <v>190</v>
      </c>
      <c r="C116" s="32" t="s">
        <v>350</v>
      </c>
      <c r="D116" s="29"/>
      <c r="E116" s="29"/>
    </row>
    <row r="117" ht="14.25" customHeight="1">
      <c r="A117" s="29" t="s">
        <v>191</v>
      </c>
      <c r="B117" s="29" t="s">
        <v>192</v>
      </c>
      <c r="C117" s="32" t="s">
        <v>350</v>
      </c>
      <c r="D117" s="29"/>
      <c r="E117" s="29"/>
    </row>
    <row r="118" ht="14.25" customHeight="1">
      <c r="A118" s="29" t="s">
        <v>193</v>
      </c>
      <c r="B118" s="29" t="s">
        <v>194</v>
      </c>
      <c r="C118" s="32" t="s">
        <v>350</v>
      </c>
      <c r="D118" s="29"/>
      <c r="E118" s="29"/>
    </row>
    <row r="119" ht="14.25" customHeight="1">
      <c r="A119" s="30"/>
      <c r="B119" s="30"/>
      <c r="C119" s="30"/>
      <c r="D119" s="30"/>
      <c r="E119" s="30"/>
    </row>
    <row r="120" ht="14.25" customHeight="1">
      <c r="A120" s="29" t="s">
        <v>195</v>
      </c>
      <c r="B120" s="29"/>
      <c r="C120" s="29"/>
      <c r="D120" s="29"/>
      <c r="E120" s="29"/>
    </row>
    <row r="121" ht="14.25" customHeight="1">
      <c r="A121" s="29" t="s">
        <v>196</v>
      </c>
      <c r="B121" s="29" t="s">
        <v>197</v>
      </c>
      <c r="C121" s="32" t="s">
        <v>349</v>
      </c>
      <c r="D121" s="29"/>
      <c r="E121" s="29"/>
    </row>
    <row r="122" ht="14.25" customHeight="1">
      <c r="A122" s="29" t="s">
        <v>198</v>
      </c>
      <c r="B122" s="29" t="s">
        <v>199</v>
      </c>
      <c r="C122" s="32" t="s">
        <v>349</v>
      </c>
      <c r="D122" s="29"/>
      <c r="E122" s="29"/>
    </row>
    <row r="123" ht="14.25" customHeight="1">
      <c r="A123" s="29" t="s">
        <v>200</v>
      </c>
      <c r="B123" s="29" t="s">
        <v>201</v>
      </c>
      <c r="C123" s="32" t="s">
        <v>350</v>
      </c>
      <c r="D123" s="29"/>
      <c r="E123" s="29"/>
    </row>
    <row r="124" ht="14.25" customHeight="1">
      <c r="A124" s="29" t="s">
        <v>202</v>
      </c>
      <c r="B124" s="29" t="s">
        <v>203</v>
      </c>
      <c r="C124" s="32" t="s">
        <v>349</v>
      </c>
      <c r="D124" s="29"/>
      <c r="E124" s="29"/>
    </row>
    <row r="125" ht="14.25" customHeight="1">
      <c r="A125" s="29"/>
      <c r="B125" s="29"/>
      <c r="C125" s="29"/>
      <c r="D125" s="29"/>
      <c r="E125" s="29"/>
    </row>
    <row r="126" ht="14.25" customHeight="1">
      <c r="A126" s="29"/>
      <c r="B126" s="29"/>
      <c r="C126" s="29"/>
      <c r="D126" s="29"/>
      <c r="E126" s="29"/>
    </row>
    <row r="127" ht="14.25" customHeight="1">
      <c r="A127" s="33" t="s">
        <v>204</v>
      </c>
      <c r="B127" s="33"/>
      <c r="C127" s="33"/>
      <c r="D127" s="33"/>
      <c r="E127" s="33"/>
    </row>
    <row r="128" ht="14.25" customHeight="1">
      <c r="A128" s="29"/>
      <c r="B128" s="29"/>
      <c r="C128" s="29"/>
      <c r="D128" s="29"/>
      <c r="E128" s="29"/>
    </row>
    <row r="129" ht="14.25" customHeight="1">
      <c r="A129" s="34" t="s">
        <v>205</v>
      </c>
      <c r="B129" s="34"/>
      <c r="C129" s="34"/>
      <c r="D129" s="34"/>
      <c r="E129" s="34"/>
    </row>
    <row r="130" ht="14.25" customHeight="1">
      <c r="A130" s="29" t="s">
        <v>206</v>
      </c>
      <c r="B130" s="29" t="s">
        <v>207</v>
      </c>
      <c r="C130" s="29"/>
      <c r="D130" s="29"/>
      <c r="E130" s="29"/>
    </row>
    <row r="131" ht="14.25" customHeight="1">
      <c r="A131" s="29" t="s">
        <v>208</v>
      </c>
      <c r="B131" s="29" t="s">
        <v>209</v>
      </c>
      <c r="C131" s="29"/>
      <c r="D131" s="29"/>
      <c r="E131" s="29"/>
    </row>
    <row r="132" ht="14.25" customHeight="1">
      <c r="A132" s="29" t="s">
        <v>210</v>
      </c>
      <c r="B132" s="29" t="s">
        <v>211</v>
      </c>
      <c r="C132" s="29"/>
      <c r="D132" s="29"/>
      <c r="E132" s="29"/>
    </row>
    <row r="133" ht="14.25" customHeight="1">
      <c r="A133" s="29" t="s">
        <v>212</v>
      </c>
      <c r="B133" s="29" t="s">
        <v>213</v>
      </c>
      <c r="C133" s="29"/>
      <c r="D133" s="29"/>
      <c r="E133" s="29"/>
    </row>
    <row r="134" ht="14.25" customHeight="1">
      <c r="A134" s="29" t="s">
        <v>218</v>
      </c>
      <c r="B134" s="29" t="s">
        <v>219</v>
      </c>
      <c r="C134" s="29"/>
      <c r="D134" s="29"/>
      <c r="E134" s="29"/>
    </row>
    <row r="135" ht="14.25" customHeight="1">
      <c r="A135" s="29" t="s">
        <v>220</v>
      </c>
      <c r="B135" s="29" t="s">
        <v>221</v>
      </c>
      <c r="C135" s="29"/>
      <c r="D135" s="29"/>
      <c r="E135" s="29"/>
    </row>
    <row r="136" ht="14.25" customHeight="1">
      <c r="A136" s="29" t="s">
        <v>222</v>
      </c>
      <c r="B136" s="29" t="s">
        <v>223</v>
      </c>
      <c r="C136" s="29"/>
      <c r="D136" s="29"/>
      <c r="E136" s="29"/>
    </row>
    <row r="137" ht="14.25" customHeight="1">
      <c r="A137" s="29" t="s">
        <v>224</v>
      </c>
      <c r="B137" s="29" t="s">
        <v>225</v>
      </c>
      <c r="C137" s="29"/>
      <c r="D137" s="29"/>
      <c r="E137" s="29"/>
    </row>
    <row r="138" ht="14.25" customHeight="1">
      <c r="A138" s="29" t="s">
        <v>226</v>
      </c>
      <c r="B138" s="29" t="s">
        <v>227</v>
      </c>
      <c r="C138" s="29"/>
      <c r="D138" s="29"/>
      <c r="E138" s="29"/>
    </row>
    <row r="139" ht="14.25" customHeight="1">
      <c r="A139" s="34"/>
      <c r="B139" s="34"/>
      <c r="C139" s="34"/>
      <c r="D139" s="34"/>
      <c r="E139" s="34"/>
    </row>
    <row r="140" ht="14.25" customHeight="1">
      <c r="A140" s="29" t="s">
        <v>238</v>
      </c>
      <c r="B140" s="29"/>
      <c r="C140" s="29"/>
      <c r="D140" s="29"/>
      <c r="E140" s="29"/>
    </row>
    <row r="141" ht="14.25" customHeight="1">
      <c r="A141" s="29" t="s">
        <v>355</v>
      </c>
      <c r="B141" s="29" t="s">
        <v>240</v>
      </c>
      <c r="C141" s="29"/>
      <c r="D141" s="29"/>
      <c r="E141" s="29"/>
    </row>
    <row r="142" ht="14.25" customHeight="1">
      <c r="A142" s="29" t="s">
        <v>356</v>
      </c>
      <c r="B142" s="29" t="s">
        <v>242</v>
      </c>
      <c r="C142" s="29"/>
      <c r="D142" s="29"/>
      <c r="E142" s="29"/>
    </row>
    <row r="143" ht="14.25" customHeight="1">
      <c r="A143" s="29" t="s">
        <v>243</v>
      </c>
      <c r="B143" s="29" t="s">
        <v>244</v>
      </c>
      <c r="C143" s="29"/>
      <c r="D143" s="29"/>
      <c r="E143" s="29"/>
    </row>
    <row r="144" ht="14.25" customHeight="1">
      <c r="A144" s="29" t="s">
        <v>245</v>
      </c>
      <c r="B144" s="29" t="s">
        <v>246</v>
      </c>
      <c r="C144" s="29"/>
      <c r="D144" s="29"/>
      <c r="E144" s="29"/>
    </row>
    <row r="145" ht="14.25" customHeight="1">
      <c r="A145" s="29" t="s">
        <v>247</v>
      </c>
      <c r="B145" s="29" t="s">
        <v>248</v>
      </c>
      <c r="C145" s="29"/>
      <c r="D145" s="29"/>
      <c r="E145" s="29"/>
    </row>
    <row r="146" ht="14.25" customHeight="1">
      <c r="A146" s="29" t="s">
        <v>249</v>
      </c>
      <c r="B146" s="29" t="s">
        <v>250</v>
      </c>
      <c r="C146" s="29"/>
      <c r="D146" s="29"/>
      <c r="E146" s="29"/>
    </row>
    <row r="147" ht="14.25" customHeight="1">
      <c r="A147" s="29" t="s">
        <v>251</v>
      </c>
      <c r="B147" s="29" t="s">
        <v>252</v>
      </c>
      <c r="C147" s="29"/>
      <c r="D147" s="29"/>
      <c r="E147" s="29"/>
    </row>
    <row r="148" ht="14.25" customHeight="1">
      <c r="A148" s="29" t="s">
        <v>253</v>
      </c>
      <c r="B148" s="29"/>
      <c r="C148" s="29"/>
      <c r="D148" s="29"/>
      <c r="E148" s="29"/>
    </row>
    <row r="149" ht="14.25" customHeight="1">
      <c r="A149" s="29"/>
      <c r="B149" s="29"/>
      <c r="C149" s="29"/>
      <c r="D149" s="29"/>
      <c r="E149" s="29"/>
    </row>
    <row r="150" ht="14.25" customHeight="1">
      <c r="A150" s="34" t="s">
        <v>255</v>
      </c>
      <c r="B150" s="34"/>
      <c r="C150" s="34"/>
      <c r="D150" s="34"/>
      <c r="E150" s="34"/>
    </row>
    <row r="151" ht="14.25" customHeight="1">
      <c r="A151" s="29" t="s">
        <v>256</v>
      </c>
      <c r="B151" s="29" t="s">
        <v>257</v>
      </c>
      <c r="C151" s="29"/>
      <c r="D151" s="29"/>
      <c r="E151" s="29"/>
    </row>
    <row r="152" ht="14.25" customHeight="1">
      <c r="A152" s="29" t="s">
        <v>258</v>
      </c>
      <c r="B152" s="29" t="s">
        <v>259</v>
      </c>
      <c r="C152" s="29"/>
      <c r="D152" s="29"/>
      <c r="E152" s="29"/>
    </row>
    <row r="153" ht="14.25" customHeight="1">
      <c r="A153" s="29" t="s">
        <v>260</v>
      </c>
      <c r="B153" s="29" t="s">
        <v>261</v>
      </c>
      <c r="C153" s="29"/>
      <c r="D153" s="29"/>
      <c r="E153" s="29"/>
    </row>
    <row r="154" ht="14.25" customHeight="1">
      <c r="A154" s="29" t="s">
        <v>262</v>
      </c>
      <c r="B154" s="29" t="s">
        <v>263</v>
      </c>
      <c r="C154" s="29"/>
      <c r="D154" s="29"/>
      <c r="E154" s="29"/>
    </row>
    <row r="155" ht="14.25" customHeight="1">
      <c r="A155" s="29" t="s">
        <v>264</v>
      </c>
      <c r="B155" s="29" t="s">
        <v>265</v>
      </c>
      <c r="C155" s="29"/>
      <c r="D155" s="29"/>
      <c r="E155" s="29"/>
    </row>
    <row r="156" ht="14.25" customHeight="1">
      <c r="A156" s="29" t="s">
        <v>266</v>
      </c>
      <c r="B156" s="29" t="s">
        <v>267</v>
      </c>
      <c r="C156" s="29"/>
      <c r="D156" s="29"/>
      <c r="E156" s="29"/>
    </row>
    <row r="157" ht="14.25" customHeight="1">
      <c r="A157" s="29" t="s">
        <v>268</v>
      </c>
      <c r="B157" s="29" t="s">
        <v>269</v>
      </c>
      <c r="C157" s="29"/>
      <c r="D157" s="29"/>
      <c r="E157" s="29"/>
    </row>
    <row r="158" ht="14.25" customHeight="1">
      <c r="A158" s="29" t="s">
        <v>357</v>
      </c>
      <c r="B158" s="29" t="s">
        <v>271</v>
      </c>
      <c r="C158" s="29"/>
      <c r="D158" s="29"/>
      <c r="E158" s="29"/>
    </row>
    <row r="159" ht="14.25" customHeight="1">
      <c r="A159" s="29" t="s">
        <v>272</v>
      </c>
      <c r="B159" s="29" t="s">
        <v>273</v>
      </c>
      <c r="C159" s="29"/>
      <c r="D159" s="29"/>
      <c r="E159" s="29"/>
    </row>
    <row r="160" ht="14.25" customHeight="1">
      <c r="A160" s="29" t="s">
        <v>274</v>
      </c>
      <c r="B160" s="29" t="s">
        <v>275</v>
      </c>
      <c r="C160" s="29"/>
      <c r="D160" s="29"/>
      <c r="E160" s="29"/>
    </row>
    <row r="161" ht="14.25" customHeight="1">
      <c r="A161" s="34"/>
      <c r="B161" s="34"/>
      <c r="C161" s="34"/>
      <c r="D161" s="34"/>
      <c r="E161" s="34"/>
    </row>
    <row r="162" ht="14.25" customHeight="1">
      <c r="A162" s="29" t="s">
        <v>276</v>
      </c>
      <c r="B162" s="29"/>
      <c r="C162" s="29"/>
      <c r="D162" s="29"/>
      <c r="E162" s="29"/>
    </row>
    <row r="163" ht="14.25" customHeight="1">
      <c r="A163" s="29" t="s">
        <v>277</v>
      </c>
      <c r="B163" s="29" t="s">
        <v>278</v>
      </c>
      <c r="C163" s="29"/>
      <c r="D163" s="29"/>
      <c r="E163" s="29"/>
    </row>
    <row r="164" ht="14.25" customHeight="1">
      <c r="A164" s="29" t="s">
        <v>279</v>
      </c>
      <c r="B164" s="29" t="s">
        <v>280</v>
      </c>
      <c r="C164" s="29"/>
      <c r="D164" s="29"/>
      <c r="E164" s="29"/>
    </row>
    <row r="165" ht="14.25" customHeight="1">
      <c r="A165" s="29" t="s">
        <v>281</v>
      </c>
      <c r="B165" s="29" t="s">
        <v>282</v>
      </c>
      <c r="C165" s="29"/>
      <c r="D165" s="29"/>
      <c r="E165" s="29"/>
    </row>
    <row r="166" ht="14.25" customHeight="1">
      <c r="A166" s="29" t="s">
        <v>283</v>
      </c>
      <c r="B166" s="29" t="s">
        <v>284</v>
      </c>
      <c r="C166" s="29"/>
      <c r="D166" s="29"/>
      <c r="E166" s="29"/>
    </row>
    <row r="167" ht="14.25" customHeight="1">
      <c r="A167" s="29"/>
      <c r="B167" s="29"/>
      <c r="C167" s="29"/>
      <c r="D167" s="29"/>
      <c r="E167" s="29"/>
    </row>
    <row r="168" ht="14.25" customHeight="1">
      <c r="A168" s="29"/>
      <c r="B168" s="29"/>
      <c r="C168" s="29"/>
      <c r="D168" s="29"/>
      <c r="E168" s="29"/>
    </row>
    <row r="169" ht="14.25" customHeight="1">
      <c r="A169" s="29"/>
      <c r="B169" s="29"/>
      <c r="C169" s="29"/>
      <c r="D169" s="29"/>
      <c r="E169" s="29"/>
    </row>
    <row r="170" ht="14.25" customHeight="1">
      <c r="A170" s="35" t="s">
        <v>285</v>
      </c>
      <c r="B170" s="35"/>
      <c r="C170" s="35"/>
      <c r="D170" s="35"/>
      <c r="E170" s="35"/>
    </row>
    <row r="171" ht="14.25" customHeight="1">
      <c r="A171" s="29"/>
      <c r="B171" s="29"/>
      <c r="C171" s="29"/>
      <c r="D171" s="29"/>
      <c r="E171" s="29"/>
    </row>
    <row r="172" ht="14.25" customHeight="1">
      <c r="A172" s="36" t="s">
        <v>286</v>
      </c>
      <c r="B172" s="36"/>
      <c r="C172" s="36"/>
      <c r="D172" s="36"/>
      <c r="E172" s="36"/>
    </row>
    <row r="173" ht="14.25" customHeight="1">
      <c r="A173" s="29" t="s">
        <v>287</v>
      </c>
      <c r="B173" s="29" t="s">
        <v>288</v>
      </c>
      <c r="C173" s="29"/>
      <c r="D173" s="29"/>
      <c r="E173" s="29"/>
    </row>
    <row r="174" ht="14.25" customHeight="1">
      <c r="A174" s="29" t="s">
        <v>289</v>
      </c>
      <c r="B174" s="29" t="s">
        <v>290</v>
      </c>
      <c r="C174" s="29"/>
      <c r="D174" s="29"/>
      <c r="E174" s="29"/>
    </row>
    <row r="175" ht="14.25" customHeight="1">
      <c r="A175" s="29" t="s">
        <v>291</v>
      </c>
      <c r="B175" s="29" t="s">
        <v>292</v>
      </c>
      <c r="C175" s="29"/>
      <c r="D175" s="29"/>
      <c r="E175" s="29"/>
    </row>
    <row r="176" ht="14.25" customHeight="1">
      <c r="A176" s="29" t="s">
        <v>293</v>
      </c>
      <c r="B176" s="29" t="s">
        <v>294</v>
      </c>
      <c r="C176" s="29"/>
      <c r="D176" s="29"/>
      <c r="E176" s="29"/>
    </row>
    <row r="177" ht="14.25" customHeight="1">
      <c r="A177" s="29" t="s">
        <v>295</v>
      </c>
      <c r="B177" s="29" t="s">
        <v>296</v>
      </c>
      <c r="C177" s="29"/>
      <c r="D177" s="29"/>
      <c r="E177" s="29"/>
    </row>
    <row r="178" ht="14.25" customHeight="1">
      <c r="A178" s="29" t="s">
        <v>297</v>
      </c>
      <c r="B178" s="29" t="s">
        <v>298</v>
      </c>
      <c r="C178" s="29"/>
      <c r="D178" s="29"/>
      <c r="E178" s="29"/>
    </row>
    <row r="179" ht="14.25" customHeight="1">
      <c r="A179" s="37" t="s">
        <v>299</v>
      </c>
      <c r="B179" s="37" t="s">
        <v>300</v>
      </c>
      <c r="C179" s="29"/>
      <c r="D179" s="29"/>
      <c r="E179" s="29"/>
    </row>
    <row r="180" ht="14.25" customHeight="1">
      <c r="A180" s="29"/>
      <c r="B180" s="29"/>
      <c r="C180" s="29"/>
      <c r="D180" s="29"/>
      <c r="E180" s="29"/>
    </row>
    <row r="181" ht="14.25" customHeight="1">
      <c r="A181" s="36" t="s">
        <v>301</v>
      </c>
      <c r="B181" s="36"/>
      <c r="C181" s="36"/>
      <c r="D181" s="36"/>
      <c r="E181" s="36"/>
    </row>
    <row r="182" ht="14.25" customHeight="1">
      <c r="A182" s="29" t="s">
        <v>302</v>
      </c>
      <c r="B182" s="29" t="s">
        <v>303</v>
      </c>
      <c r="C182" s="29"/>
      <c r="D182" s="29"/>
      <c r="E182" s="29"/>
    </row>
    <row r="183" ht="14.25" customHeight="1">
      <c r="A183" s="29" t="s">
        <v>304</v>
      </c>
      <c r="B183" s="29" t="s">
        <v>305</v>
      </c>
      <c r="C183" s="29"/>
      <c r="D183" s="29"/>
      <c r="E183" s="29"/>
    </row>
    <row r="184" ht="14.25" customHeight="1">
      <c r="A184" s="29" t="s">
        <v>306</v>
      </c>
      <c r="B184" s="29" t="s">
        <v>307</v>
      </c>
      <c r="C184" s="29"/>
      <c r="D184" s="29"/>
      <c r="E184" s="29"/>
    </row>
    <row r="185" ht="14.25" customHeight="1">
      <c r="A185" s="29" t="s">
        <v>308</v>
      </c>
      <c r="B185" s="29" t="s">
        <v>309</v>
      </c>
      <c r="C185" s="29"/>
      <c r="D185" s="29"/>
      <c r="E185" s="29"/>
    </row>
    <row r="186" ht="14.25" customHeight="1">
      <c r="A186" s="29" t="s">
        <v>310</v>
      </c>
      <c r="B186" s="29" t="s">
        <v>311</v>
      </c>
      <c r="C186" s="29"/>
      <c r="D186" s="29"/>
      <c r="E186" s="29"/>
    </row>
    <row r="187" ht="14.25" customHeight="1">
      <c r="A187" s="29" t="s">
        <v>312</v>
      </c>
      <c r="B187" s="29" t="s">
        <v>313</v>
      </c>
      <c r="C187" s="29"/>
      <c r="D187" s="29"/>
      <c r="E187" s="29"/>
    </row>
    <row r="188" ht="14.25" customHeight="1">
      <c r="A188" s="29" t="s">
        <v>314</v>
      </c>
      <c r="B188" s="29" t="s">
        <v>315</v>
      </c>
      <c r="C188" s="29"/>
      <c r="D188" s="29"/>
      <c r="E188" s="29"/>
    </row>
    <row r="189" ht="14.25" customHeight="1">
      <c r="A189" s="29" t="s">
        <v>316</v>
      </c>
      <c r="B189" s="29" t="s">
        <v>317</v>
      </c>
      <c r="C189" s="29"/>
      <c r="D189" s="29"/>
      <c r="E189" s="29"/>
    </row>
    <row r="190" ht="14.25" customHeight="1">
      <c r="A190" s="29" t="s">
        <v>318</v>
      </c>
      <c r="B190" s="29" t="s">
        <v>319</v>
      </c>
      <c r="C190" s="29"/>
      <c r="D190" s="29"/>
      <c r="E190" s="29"/>
    </row>
    <row r="191" ht="14.25" customHeight="1">
      <c r="A191" s="37" t="s">
        <v>320</v>
      </c>
      <c r="B191" s="37" t="s">
        <v>321</v>
      </c>
      <c r="C191" s="29"/>
      <c r="D191" s="29"/>
      <c r="E191" s="29"/>
    </row>
    <row r="192" ht="14.25" customHeight="1">
      <c r="A192" s="29"/>
      <c r="B192" s="29"/>
      <c r="C192" s="29"/>
      <c r="D192" s="29"/>
      <c r="E192" s="29"/>
    </row>
    <row r="193" ht="14.25" customHeight="1">
      <c r="A193" s="36" t="s">
        <v>322</v>
      </c>
      <c r="B193" s="36"/>
      <c r="C193" s="36"/>
      <c r="D193" s="36"/>
      <c r="E193" s="36"/>
    </row>
    <row r="194" ht="14.25" customHeight="1">
      <c r="A194" s="29" t="s">
        <v>323</v>
      </c>
      <c r="B194" s="29" t="s">
        <v>324</v>
      </c>
      <c r="C194" s="29"/>
      <c r="D194" s="29"/>
      <c r="E194" s="29"/>
    </row>
    <row r="195" ht="14.25" customHeight="1">
      <c r="A195" s="29" t="s">
        <v>325</v>
      </c>
      <c r="B195" s="29" t="s">
        <v>326</v>
      </c>
      <c r="C195" s="29"/>
      <c r="D195" s="29"/>
      <c r="E195" s="29"/>
    </row>
    <row r="196" ht="14.25" customHeight="1">
      <c r="A196" s="29" t="s">
        <v>327</v>
      </c>
      <c r="B196" s="29" t="s">
        <v>328</v>
      </c>
      <c r="C196" s="29"/>
      <c r="D196" s="29"/>
      <c r="E196" s="29"/>
    </row>
    <row r="197" ht="14.25" customHeight="1">
      <c r="A197" s="29" t="s">
        <v>329</v>
      </c>
      <c r="B197" s="29" t="s">
        <v>330</v>
      </c>
      <c r="C197" s="29"/>
      <c r="D197" s="29"/>
      <c r="E197" s="29"/>
    </row>
    <row r="198" ht="14.25" customHeight="1">
      <c r="A198" s="37" t="s">
        <v>331</v>
      </c>
      <c r="B198" s="37" t="s">
        <v>332</v>
      </c>
      <c r="C198" s="29"/>
      <c r="D198" s="29"/>
      <c r="E198" s="29"/>
    </row>
    <row r="199" ht="14.25" customHeight="1">
      <c r="A199" s="29"/>
      <c r="B199" s="29"/>
      <c r="C199" s="29"/>
      <c r="D199" s="29"/>
      <c r="E199" s="29"/>
    </row>
    <row r="200" ht="14.25" customHeight="1">
      <c r="A200" s="36" t="s">
        <v>333</v>
      </c>
      <c r="B200" s="36"/>
      <c r="C200" s="36"/>
      <c r="D200" s="36"/>
      <c r="E200" s="36"/>
    </row>
    <row r="201" ht="14.25" customHeight="1">
      <c r="A201" s="29" t="s">
        <v>334</v>
      </c>
      <c r="B201" s="29" t="s">
        <v>335</v>
      </c>
      <c r="C201" s="29"/>
      <c r="D201" s="29"/>
      <c r="E201" s="29"/>
    </row>
    <row r="202" ht="14.25" customHeight="1">
      <c r="A202" s="29" t="s">
        <v>336</v>
      </c>
      <c r="B202" s="29" t="s">
        <v>337</v>
      </c>
      <c r="C202" s="29"/>
      <c r="D202" s="29"/>
      <c r="E202" s="29"/>
    </row>
    <row r="203" ht="14.25" customHeight="1">
      <c r="A203" s="29" t="s">
        <v>338</v>
      </c>
      <c r="B203" s="29" t="s">
        <v>339</v>
      </c>
      <c r="C203" s="29"/>
      <c r="D203" s="29"/>
      <c r="E203" s="29"/>
    </row>
    <row r="204" ht="14.25" customHeight="1">
      <c r="A204" s="29" t="s">
        <v>340</v>
      </c>
      <c r="B204" s="29" t="s">
        <v>341</v>
      </c>
      <c r="C204" s="29"/>
      <c r="D204" s="29"/>
      <c r="E204" s="29"/>
    </row>
    <row r="205" ht="14.25" customHeight="1">
      <c r="A205" s="29" t="s">
        <v>342</v>
      </c>
      <c r="B205" s="29" t="s">
        <v>343</v>
      </c>
      <c r="C205" s="29"/>
      <c r="D205" s="29"/>
      <c r="E205" s="29"/>
    </row>
    <row r="206" ht="14.25" customHeight="1">
      <c r="A206" s="29" t="s">
        <v>344</v>
      </c>
      <c r="B206" s="29" t="s">
        <v>345</v>
      </c>
      <c r="C206" s="29"/>
      <c r="D206" s="29"/>
      <c r="E206" s="29"/>
    </row>
    <row r="207" ht="14.25" customHeight="1">
      <c r="A207" s="29"/>
      <c r="B207" s="29"/>
      <c r="C207" s="29"/>
      <c r="D207" s="29"/>
      <c r="E207" s="29"/>
    </row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D2:D139 D141:D169 D171:D206">
      <formula1>"'One Time','Daily','Monthly','Yearly'"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5.25"/>
    <col customWidth="1" min="2" max="2" width="43.38"/>
    <col customWidth="1" min="3" max="3" width="20.75"/>
    <col customWidth="1" min="4" max="4" width="85.25"/>
    <col customWidth="1" min="5" max="5" width="38.88"/>
    <col customWidth="1" min="6" max="6" width="16.63"/>
    <col customWidth="1" min="7" max="26" width="8.63"/>
  </cols>
  <sheetData>
    <row r="1" ht="33.75" customHeight="1">
      <c r="A1" s="38" t="s">
        <v>358</v>
      </c>
      <c r="B1" s="2"/>
      <c r="C1" s="2"/>
      <c r="D1" s="2"/>
      <c r="E1" s="2"/>
      <c r="F1" s="3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14.25" customHeight="1">
      <c r="A2" s="40" t="s">
        <v>359</v>
      </c>
      <c r="B2" s="2"/>
      <c r="C2" s="2"/>
      <c r="D2" s="2"/>
      <c r="E2" s="2"/>
      <c r="F2" s="3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4.25" customHeight="1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25.5" customHeight="1">
      <c r="A4" s="41" t="s">
        <v>360</v>
      </c>
      <c r="B4" s="41" t="s">
        <v>361</v>
      </c>
      <c r="C4" s="41" t="s">
        <v>362</v>
      </c>
      <c r="D4" s="41" t="s">
        <v>363</v>
      </c>
      <c r="E4" s="41" t="s">
        <v>364</v>
      </c>
      <c r="F4" s="41" t="s">
        <v>365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4.25" customHeight="1">
      <c r="A5" s="42">
        <v>1.0</v>
      </c>
      <c r="B5" s="43" t="s">
        <v>366</v>
      </c>
      <c r="C5" s="44" t="s">
        <v>367</v>
      </c>
      <c r="D5" s="44" t="s">
        <v>368</v>
      </c>
      <c r="E5" s="44" t="s">
        <v>369</v>
      </c>
      <c r="F5" s="45" t="s">
        <v>370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4.25" customHeight="1">
      <c r="A6" s="46">
        <v>2.0</v>
      </c>
      <c r="B6" s="47" t="s">
        <v>371</v>
      </c>
      <c r="C6" s="48" t="s">
        <v>372</v>
      </c>
      <c r="D6" s="48" t="s">
        <v>373</v>
      </c>
      <c r="E6" s="48" t="s">
        <v>374</v>
      </c>
      <c r="F6" s="49" t="s">
        <v>370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4.25" customHeight="1">
      <c r="A7" s="50">
        <v>3.0</v>
      </c>
      <c r="B7" s="51" t="s">
        <v>375</v>
      </c>
      <c r="C7" s="52" t="s">
        <v>376</v>
      </c>
      <c r="D7" s="52" t="s">
        <v>377</v>
      </c>
      <c r="E7" s="52" t="s">
        <v>378</v>
      </c>
      <c r="F7" s="49" t="s">
        <v>370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4.25" customHeight="1">
      <c r="A8" s="46">
        <v>4.0</v>
      </c>
      <c r="B8" s="47" t="s">
        <v>379</v>
      </c>
      <c r="C8" s="48" t="s">
        <v>380</v>
      </c>
      <c r="D8" s="48" t="s">
        <v>381</v>
      </c>
      <c r="E8" s="48" t="s">
        <v>382</v>
      </c>
      <c r="F8" s="49" t="s">
        <v>370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4.25" customHeight="1">
      <c r="A9" s="50">
        <v>5.0</v>
      </c>
      <c r="B9" s="51" t="s">
        <v>17</v>
      </c>
      <c r="C9" s="52" t="s">
        <v>383</v>
      </c>
      <c r="D9" s="52" t="s">
        <v>384</v>
      </c>
      <c r="E9" s="52" t="s">
        <v>385</v>
      </c>
      <c r="F9" s="49" t="s">
        <v>370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4.25" customHeight="1">
      <c r="A10" s="46">
        <v>6.0</v>
      </c>
      <c r="B10" s="47" t="s">
        <v>386</v>
      </c>
      <c r="C10" s="48" t="s">
        <v>387</v>
      </c>
      <c r="D10" s="48" t="s">
        <v>388</v>
      </c>
      <c r="E10" s="48" t="s">
        <v>389</v>
      </c>
      <c r="F10" s="49" t="s">
        <v>370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4.25" customHeight="1">
      <c r="A11" s="50">
        <v>7.0</v>
      </c>
      <c r="B11" s="51" t="s">
        <v>390</v>
      </c>
      <c r="C11" s="52" t="s">
        <v>391</v>
      </c>
      <c r="D11" s="52" t="s">
        <v>392</v>
      </c>
      <c r="E11" s="52" t="s">
        <v>393</v>
      </c>
      <c r="F11" s="49" t="s">
        <v>370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4.25" customHeight="1">
      <c r="A12" s="46">
        <v>8.0</v>
      </c>
      <c r="B12" s="47" t="s">
        <v>394</v>
      </c>
      <c r="C12" s="48" t="s">
        <v>395</v>
      </c>
      <c r="D12" s="48" t="s">
        <v>396</v>
      </c>
      <c r="E12" s="48" t="s">
        <v>397</v>
      </c>
      <c r="F12" s="49" t="s">
        <v>370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4.25" customHeight="1">
      <c r="A13" s="50">
        <v>9.0</v>
      </c>
      <c r="B13" s="51" t="s">
        <v>398</v>
      </c>
      <c r="C13" s="52" t="s">
        <v>399</v>
      </c>
      <c r="D13" s="52" t="s">
        <v>400</v>
      </c>
      <c r="E13" s="52" t="s">
        <v>401</v>
      </c>
      <c r="F13" s="53" t="s">
        <v>402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4.25" customHeight="1">
      <c r="A14" s="46">
        <v>10.0</v>
      </c>
      <c r="B14" s="47" t="s">
        <v>403</v>
      </c>
      <c r="C14" s="48" t="s">
        <v>404</v>
      </c>
      <c r="D14" s="48" t="s">
        <v>405</v>
      </c>
      <c r="E14" s="48" t="s">
        <v>406</v>
      </c>
      <c r="F14" s="53" t="s">
        <v>402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4.25" customHeight="1">
      <c r="A15" s="50">
        <v>11.0</v>
      </c>
      <c r="B15" s="51" t="s">
        <v>407</v>
      </c>
      <c r="C15" s="52" t="s">
        <v>408</v>
      </c>
      <c r="D15" s="52" t="s">
        <v>409</v>
      </c>
      <c r="E15" s="52" t="s">
        <v>410</v>
      </c>
      <c r="F15" s="53" t="s">
        <v>402</v>
      </c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4.25" customHeight="1">
      <c r="A16" s="46">
        <v>12.0</v>
      </c>
      <c r="B16" s="47" t="s">
        <v>411</v>
      </c>
      <c r="C16" s="48" t="s">
        <v>412</v>
      </c>
      <c r="D16" s="48" t="s">
        <v>413</v>
      </c>
      <c r="E16" s="48" t="s">
        <v>414</v>
      </c>
      <c r="F16" s="49" t="s">
        <v>370</v>
      </c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4.25" customHeight="1">
      <c r="A17" s="50">
        <v>13.0</v>
      </c>
      <c r="B17" s="51" t="s">
        <v>415</v>
      </c>
      <c r="C17" s="52" t="s">
        <v>416</v>
      </c>
      <c r="D17" s="52" t="s">
        <v>417</v>
      </c>
      <c r="E17" s="52" t="s">
        <v>418</v>
      </c>
      <c r="F17" s="49" t="s">
        <v>370</v>
      </c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4.25" customHeight="1">
      <c r="A18" s="46">
        <v>14.0</v>
      </c>
      <c r="B18" s="47" t="s">
        <v>419</v>
      </c>
      <c r="C18" s="48" t="s">
        <v>420</v>
      </c>
      <c r="D18" s="48" t="s">
        <v>421</v>
      </c>
      <c r="E18" s="48" t="s">
        <v>422</v>
      </c>
      <c r="F18" s="49" t="s">
        <v>370</v>
      </c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4.25" customHeight="1">
      <c r="A19" s="50">
        <v>15.0</v>
      </c>
      <c r="B19" s="51" t="s">
        <v>423</v>
      </c>
      <c r="C19" s="52" t="s">
        <v>424</v>
      </c>
      <c r="D19" s="52" t="s">
        <v>425</v>
      </c>
      <c r="E19" s="52" t="s">
        <v>426</v>
      </c>
      <c r="F19" s="49" t="s">
        <v>370</v>
      </c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4.25" customHeight="1">
      <c r="A20" s="46">
        <v>16.0</v>
      </c>
      <c r="B20" s="47" t="s">
        <v>427</v>
      </c>
      <c r="C20" s="48" t="s">
        <v>416</v>
      </c>
      <c r="D20" s="48" t="s">
        <v>428</v>
      </c>
      <c r="E20" s="48" t="s">
        <v>429</v>
      </c>
      <c r="F20" s="49" t="s">
        <v>370</v>
      </c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4.25" customHeight="1">
      <c r="A21" s="50">
        <v>17.0</v>
      </c>
      <c r="B21" s="51" t="s">
        <v>430</v>
      </c>
      <c r="C21" s="52" t="s">
        <v>431</v>
      </c>
      <c r="D21" s="52" t="s">
        <v>432</v>
      </c>
      <c r="E21" s="52" t="s">
        <v>433</v>
      </c>
      <c r="F21" s="49" t="s">
        <v>370</v>
      </c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4.25" customHeight="1">
      <c r="A22" s="46">
        <v>18.0</v>
      </c>
      <c r="B22" s="47" t="s">
        <v>434</v>
      </c>
      <c r="C22" s="48" t="s">
        <v>435</v>
      </c>
      <c r="D22" s="48" t="s">
        <v>436</v>
      </c>
      <c r="E22" s="48" t="s">
        <v>437</v>
      </c>
      <c r="F22" s="49" t="s">
        <v>370</v>
      </c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4.25" customHeight="1">
      <c r="A23" s="54">
        <v>19.0</v>
      </c>
      <c r="B23" s="55" t="s">
        <v>438</v>
      </c>
      <c r="C23" s="56" t="s">
        <v>439</v>
      </c>
      <c r="D23" s="56" t="s">
        <v>440</v>
      </c>
      <c r="E23" s="56" t="s">
        <v>441</v>
      </c>
      <c r="F23" s="57" t="s">
        <v>370</v>
      </c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4.2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4.25" customHeight="1">
      <c r="A25" s="58" t="s">
        <v>442</v>
      </c>
      <c r="B25" s="2"/>
      <c r="C25" s="2"/>
      <c r="D25" s="2"/>
      <c r="E25" s="2"/>
      <c r="F25" s="3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4.25" customHeight="1">
      <c r="A26" s="59" t="s">
        <v>360</v>
      </c>
      <c r="B26" s="59" t="s">
        <v>361</v>
      </c>
      <c r="C26" s="59" t="s">
        <v>362</v>
      </c>
      <c r="D26" s="59" t="s">
        <v>363</v>
      </c>
      <c r="E26" s="59" t="s">
        <v>364</v>
      </c>
      <c r="F26" s="59" t="s">
        <v>365</v>
      </c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4.25" customHeight="1">
      <c r="A27" s="60">
        <v>20.0</v>
      </c>
      <c r="B27" s="61" t="s">
        <v>443</v>
      </c>
      <c r="C27" s="62" t="s">
        <v>444</v>
      </c>
      <c r="D27" s="62" t="s">
        <v>445</v>
      </c>
      <c r="E27" s="62" t="s">
        <v>446</v>
      </c>
      <c r="F27" s="63" t="s">
        <v>370</v>
      </c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4.25" customHeight="1">
      <c r="A28" s="60">
        <v>21.0</v>
      </c>
      <c r="B28" s="61" t="s">
        <v>447</v>
      </c>
      <c r="C28" s="62" t="s">
        <v>448</v>
      </c>
      <c r="D28" s="62" t="s">
        <v>449</v>
      </c>
      <c r="E28" s="62" t="s">
        <v>450</v>
      </c>
      <c r="F28" s="63" t="s">
        <v>370</v>
      </c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4.25" customHeight="1">
      <c r="A29" s="60">
        <v>22.0</v>
      </c>
      <c r="B29" s="61" t="s">
        <v>451</v>
      </c>
      <c r="C29" s="62" t="s">
        <v>452</v>
      </c>
      <c r="D29" s="62" t="s">
        <v>453</v>
      </c>
      <c r="E29" s="62" t="s">
        <v>454</v>
      </c>
      <c r="F29" s="63" t="s">
        <v>370</v>
      </c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4.25" customHeight="1">
      <c r="A30" s="60">
        <v>23.0</v>
      </c>
      <c r="B30" s="61" t="s">
        <v>455</v>
      </c>
      <c r="C30" s="62" t="s">
        <v>456</v>
      </c>
      <c r="D30" s="62" t="s">
        <v>457</v>
      </c>
      <c r="E30" s="62" t="s">
        <v>458</v>
      </c>
      <c r="F30" s="63" t="s">
        <v>370</v>
      </c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4.25" customHeight="1">
      <c r="A31" s="60">
        <v>24.0</v>
      </c>
      <c r="B31" s="61" t="s">
        <v>459</v>
      </c>
      <c r="C31" s="62" t="s">
        <v>460</v>
      </c>
      <c r="D31" s="62" t="s">
        <v>461</v>
      </c>
      <c r="E31" s="62" t="s">
        <v>462</v>
      </c>
      <c r="F31" s="63" t="s">
        <v>370</v>
      </c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4.25" customHeight="1">
      <c r="A32" s="60">
        <v>25.0</v>
      </c>
      <c r="B32" s="61" t="s">
        <v>463</v>
      </c>
      <c r="C32" s="62" t="s">
        <v>464</v>
      </c>
      <c r="D32" s="62" t="s">
        <v>465</v>
      </c>
      <c r="E32" s="62" t="s">
        <v>466</v>
      </c>
      <c r="F32" s="63" t="s">
        <v>402</v>
      </c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4.25" customHeight="1">
      <c r="A33" s="60">
        <v>26.0</v>
      </c>
      <c r="B33" s="61" t="s">
        <v>467</v>
      </c>
      <c r="C33" s="62" t="s">
        <v>468</v>
      </c>
      <c r="D33" s="62" t="s">
        <v>469</v>
      </c>
      <c r="E33" s="62" t="s">
        <v>470</v>
      </c>
      <c r="F33" s="63" t="s">
        <v>402</v>
      </c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4.25" customHeight="1">
      <c r="A34" s="60">
        <v>27.0</v>
      </c>
      <c r="B34" s="61" t="s">
        <v>471</v>
      </c>
      <c r="C34" s="62" t="s">
        <v>472</v>
      </c>
      <c r="D34" s="62" t="s">
        <v>473</v>
      </c>
      <c r="E34" s="62" t="s">
        <v>474</v>
      </c>
      <c r="F34" s="63" t="s">
        <v>402</v>
      </c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4.25" customHeight="1">
      <c r="A35" s="60">
        <v>28.0</v>
      </c>
      <c r="B35" s="61" t="s">
        <v>475</v>
      </c>
      <c r="C35" s="62" t="s">
        <v>476</v>
      </c>
      <c r="D35" s="62" t="s">
        <v>477</v>
      </c>
      <c r="E35" s="62" t="s">
        <v>478</v>
      </c>
      <c r="F35" s="63" t="s">
        <v>370</v>
      </c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4.25" customHeight="1">
      <c r="A36" s="60">
        <v>29.0</v>
      </c>
      <c r="B36" s="61" t="s">
        <v>479</v>
      </c>
      <c r="C36" s="62" t="s">
        <v>480</v>
      </c>
      <c r="D36" s="62" t="s">
        <v>481</v>
      </c>
      <c r="E36" s="62" t="s">
        <v>482</v>
      </c>
      <c r="F36" s="64" t="s">
        <v>350</v>
      </c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4.25" customHeight="1">
      <c r="A37" s="60">
        <v>30.0</v>
      </c>
      <c r="B37" s="61" t="s">
        <v>483</v>
      </c>
      <c r="C37" s="62" t="s">
        <v>484</v>
      </c>
      <c r="D37" s="62" t="s">
        <v>485</v>
      </c>
      <c r="E37" s="62" t="s">
        <v>486</v>
      </c>
      <c r="F37" s="63" t="s">
        <v>487</v>
      </c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4.25" customHeight="1">
      <c r="A38" s="60">
        <v>31.0</v>
      </c>
      <c r="B38" s="61" t="s">
        <v>488</v>
      </c>
      <c r="C38" s="62" t="s">
        <v>489</v>
      </c>
      <c r="D38" s="62" t="s">
        <v>490</v>
      </c>
      <c r="E38" s="62" t="s">
        <v>491</v>
      </c>
      <c r="F38" s="63" t="s">
        <v>402</v>
      </c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4.2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4.2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4.2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4.2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4.2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4.2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4.2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4.2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4.2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4.2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4.2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4.2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4.2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4.2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4.2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4.2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4.2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4.2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4.2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4.2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4.2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4.2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4.2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4.2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4.2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4.2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4.2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4.2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4.2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4.2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4.2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4.2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4.2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4.2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4.2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4.2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4.2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4.2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4.2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4.2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4.2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4.2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4.2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4.2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4.2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4.2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4.2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4.2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4.2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4.2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4.2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4.2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4.2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4.2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4.2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4.2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4.2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4.2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4.2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4.2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4.2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4.2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4.2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4.2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4.2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4.2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4.2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4.2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4.2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4.2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4.2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4.2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4.2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4.2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4.2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4.2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4.2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4.2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4.2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4.2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4.2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4.2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4.2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4.2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4.2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4.2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4.2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4.2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4.2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4.2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4.2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4.2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4.2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4.2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4.2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4.2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4.2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4.2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4.2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4.2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4.2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4.2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4.2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4.2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4.2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4.2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4.2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4.2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4.2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4.2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4.2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4.2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4.2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4.2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4.2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4.2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4.2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4.2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4.2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4.2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4.2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4.2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4.2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4.2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4.2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4.2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4.2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4.2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4.2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4.2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4.2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4.2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4.2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4.2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4.2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4.2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4.2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4.2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4.2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4.2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4.2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4.2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4.2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4.2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4.2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4.2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4.2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4.2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4.2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4.2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4.2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4.2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4.2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4.2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4.2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4.2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4.2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4.2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4.2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4.2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4.2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4.2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4.2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4.2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4.2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4.2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4.2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4.2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4.2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4.2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4.2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4.2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4.2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4.2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4.2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4.2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4.2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4.2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4.2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4.2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4.2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4.2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4.2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4.2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4.2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4.2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4.2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4.2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4.2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4.2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4.2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4.2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4.2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4.2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4.2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4.2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4.2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4.2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4.2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4.2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4.2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4.2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4.2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4.2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4.2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4.2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4.2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4.2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4.2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4.2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4.2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4.2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4.2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4.2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4.2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4.2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4.2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4.2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4.2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4.2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4.2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4.2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4.2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4.2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4.2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4.2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4.2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4.2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4.2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4.2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4.2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4.2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4.2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4.2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4.2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4.2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4.2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4.2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4.2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4.2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4.2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4.2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4.2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4.2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4.2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4.2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4.2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4.2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4.2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4.2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4.2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4.2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4.2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4.2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4.2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4.2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4.2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4.2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4.2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4.2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4.2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4.2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4.2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4.2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4.2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4.2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4.2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4.2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4.2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4.2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4.2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4.2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4.2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4.2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4.2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4.2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4.2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4.2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4.2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4.2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4.2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4.2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4.2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4.2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4.2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4.2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4.2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4.2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4.2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4.2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4.2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4.2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4.2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4.2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4.2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4.2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4.2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4.2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4.2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4.2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4.2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4.2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4.2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4.2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4.2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4.2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4.2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4.2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4.2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4.2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4.2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4.2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4.2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4.2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4.2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4.2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4.2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4.2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4.2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4.2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4.2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4.2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4.2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4.2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4.2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4.2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4.2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4.2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4.2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4.2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4.2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4.2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4.2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4.2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4.2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4.2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4.2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4.2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4.2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4.2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4.2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4.2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4.2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4.2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4.2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4.2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4.2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4.2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4.2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4.2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4.2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4.2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4.2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4.2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4.2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4.2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4.2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4.2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4.2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4.2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4.2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4.2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4.2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4.2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4.2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4.2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4.2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4.2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4.2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4.2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4.2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4.2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4.2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4.2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4.2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4.2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4.2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4.2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4.2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4.2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4.2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4.2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4.2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4.2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4.2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4.2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4.2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4.2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4.2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4.2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4.2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4.2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4.2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4.2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4.2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4.2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4.2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4.2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4.2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4.2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4.2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4.2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4.2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4.2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4.2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4.2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4.2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4.2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4.2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4.2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4.2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4.2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4.2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4.2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4.2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4.2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4.2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4.2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4.2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4.2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4.2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4.2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4.2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4.2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4.2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4.2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4.2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4.2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4.2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4.2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4.2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4.2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4.2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4.2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4.2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4.2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4.2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4.2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4.2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4.2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4.2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4.2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4.2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4.2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4.2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4.2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4.2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4.2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4.2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4.2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4.2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4.2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4.2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4.2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4.2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4.2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4.2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4.2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4.2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4.2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4.2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4.2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4.2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4.2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4.2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4.2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4.2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4.2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4.2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4.2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4.2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4.2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4.2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4.2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4.2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4.2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4.2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4.2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4.2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4.2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4.2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4.2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4.2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4.2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4.2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4.2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4.2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4.2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4.2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4.2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4.2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4.2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4.2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4.2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4.2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4.2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4.2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4.2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4.2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4.2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4.2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4.2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4.2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4.2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4.2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4.2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4.2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4.2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4.2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4.2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4.2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4.2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4.2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4.2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4.2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4.2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4.2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4.2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4.2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4.2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4.2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4.2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4.2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4.2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4.2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4.2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4.2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4.2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4.2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4.2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4.2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4.2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4.2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4.2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4.2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4.2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4.2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4.2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4.2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4.2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4.2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4.2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4.2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4.2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4.2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4.2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4.2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4.2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4.2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4.2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4.2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4.2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4.2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4.2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4.2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4.2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4.2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4.2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4.2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4.2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4.2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4.2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4.2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4.2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4.2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4.2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4.2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4.2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4.2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4.2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4.2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4.2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4.2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4.2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4.2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4.2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4.2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4.2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4.2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4.2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4.2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4.2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4.2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4.2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4.2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4.2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4.2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4.2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4.2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4.2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4.2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4.2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4.2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4.2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4.2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4.2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4.2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4.2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4.2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4.2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4.2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4.2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4.2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4.2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4.2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4.2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4.2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4.2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4.2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4.2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4.2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4.2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4.2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4.2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4.2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4.2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4.2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4.2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4.2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4.2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4.2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4.2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4.2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4.2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4.2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4.2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4.2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4.2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4.2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4.2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4.2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4.2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4.2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4.2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4.2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4.2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4.2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4.2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4.2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4.2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4.2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4.2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4.2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4.2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4.2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4.2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4.2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4.2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4.2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4.2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4.2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4.2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4.2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4.2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4.2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4.2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4.2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4.2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4.2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4.2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4.2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4.2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4.2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4.2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4.2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4.2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4.2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4.2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4.2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4.2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4.2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4.2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4.2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4.2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4.2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4.2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4.2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4.2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4.2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4.2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4.2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4.2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4.2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4.2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4.2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4.2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4.2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4.2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4.2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4.2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4.2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4.2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4.2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4.2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4.2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4.2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4.2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4.2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4.2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4.2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4.2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4.2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4.2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4.2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4.2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4.2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4.2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4.2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4.2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4.2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4.2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4.2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4.2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4.2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4.2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4.2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4.2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4.2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4.2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4.2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4.2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4.2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4.2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4.2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4.2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4.2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4.2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4.2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4.2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4.2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4.2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4.2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4.2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4.2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4.2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4.2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4.2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4.2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4.2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4.2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4.2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4.2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4.2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4.2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4.2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4.2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4.2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4.2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4.2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4.2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4.2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4.2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4.2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4.2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4.2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4.2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4.2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4.2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4.2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4.2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4.2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4.2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4.2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4.2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4.2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4.2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4.2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4.2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4.2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4.2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4.2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4.2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4.2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4.2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4.2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4.2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4.2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4.2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4.2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4.2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4.2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4.2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4.2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4.2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4.2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4.2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4.2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4.2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4.2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4.2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4.2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4.2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4.2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4.2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4.2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4.2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4.2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4.2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4.2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4.2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4.2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4.2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4.2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4.2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4.2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4.2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4.2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4.2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4.2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4.2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4.2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4.2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4.2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4.2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4.2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4.2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4.2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4.2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4.2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4.2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4.2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4.2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4.2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4.2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4.2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4.2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4.2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4.2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4.2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4.2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4.2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4.2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4.2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4.2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4.2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4.2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4.2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4.2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4.2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4.2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4.2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4.2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4.2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4.2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4.2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4.2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4.2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4.2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4.2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4.2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4.2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4.2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4.2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4.2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4.2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4.2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4.2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4.2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4.2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4.2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4.2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4.2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4.2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4.2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4.2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4.2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4.2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4.2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4.2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4.2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4.2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4.2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4.2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4.2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4.2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4.2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4.2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4.2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4.2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4.2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4.2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4.2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4.2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4.2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4.2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4.2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4.2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4.2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4.2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4.2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4.2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4.2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4.2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4.2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4.2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4.2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4.2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4.2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4.2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4.2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4.2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4.2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4.2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4.2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4.2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4.2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4.2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4.2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4.2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4.2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4.2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4.2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4.2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4.2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4.2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4.2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4.2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4.2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4.2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4.2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4.2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4.2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4.2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4.2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4.2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4.2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4.2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4.2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4.2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4.2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4.2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4.2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4.2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4.2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4.2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4.2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4.2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4.2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4.2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4.2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4.2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4.2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4.2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4.2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4.2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4.2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4.2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4.2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4.2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4.2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4.2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4.2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4.2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4.2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4.2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4.2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4.2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4.2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4.2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4.2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4.2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4.2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3">
    <mergeCell ref="A1:F1"/>
    <mergeCell ref="A2:F2"/>
    <mergeCell ref="A25:F2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6" width="8.63"/>
  </cols>
  <sheetData>
    <row r="1" ht="14.25" customHeight="1"/>
    <row r="2" ht="14.25" customHeight="1">
      <c r="B2" s="65">
        <v>46207.0</v>
      </c>
      <c r="C2" s="65">
        <v>46208.0</v>
      </c>
      <c r="D2" s="65">
        <v>46209.0</v>
      </c>
      <c r="E2" s="65">
        <v>46210.0</v>
      </c>
      <c r="F2" s="65">
        <v>46211.0</v>
      </c>
      <c r="G2" s="65">
        <v>46212.0</v>
      </c>
      <c r="H2" s="65">
        <v>46213.0</v>
      </c>
      <c r="I2" s="65">
        <v>46214.0</v>
      </c>
      <c r="J2" s="65">
        <v>46215.0</v>
      </c>
      <c r="K2" s="65">
        <v>46216.0</v>
      </c>
      <c r="L2" s="65">
        <v>46217.0</v>
      </c>
      <c r="M2" s="65">
        <v>46218.0</v>
      </c>
      <c r="N2" s="65">
        <v>46219.0</v>
      </c>
      <c r="O2" s="65">
        <v>46220.0</v>
      </c>
      <c r="P2" s="65">
        <v>46221.0</v>
      </c>
      <c r="Q2" s="65">
        <v>46222.0</v>
      </c>
      <c r="R2" s="65">
        <v>46223.0</v>
      </c>
      <c r="S2" s="65">
        <v>46224.0</v>
      </c>
      <c r="T2" s="65">
        <v>46225.0</v>
      </c>
      <c r="U2" s="65">
        <v>46226.0</v>
      </c>
      <c r="V2" s="65">
        <v>46227.0</v>
      </c>
      <c r="W2" s="65">
        <v>46228.0</v>
      </c>
      <c r="X2" s="65">
        <v>46229.0</v>
      </c>
      <c r="Y2" s="65">
        <v>46230.0</v>
      </c>
      <c r="Z2" s="65">
        <v>46231.0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8.75"/>
    <col customWidth="1" min="2" max="2" width="37.0"/>
    <col customWidth="1" min="3" max="3" width="13.38"/>
    <col customWidth="1" min="4" max="26" width="8.63"/>
  </cols>
  <sheetData>
    <row r="1" ht="14.25" customHeight="1">
      <c r="A1" s="66" t="s">
        <v>492</v>
      </c>
      <c r="B1" s="3"/>
    </row>
    <row r="2" ht="14.25" customHeight="1"/>
    <row r="3" ht="14.25" customHeight="1">
      <c r="A3" s="67" t="s">
        <v>493</v>
      </c>
      <c r="B3" s="67"/>
    </row>
    <row r="4" ht="14.25" customHeight="1">
      <c r="A4" s="68" t="s">
        <v>494</v>
      </c>
      <c r="B4" s="68" t="s">
        <v>495</v>
      </c>
    </row>
    <row r="5" ht="14.25" customHeight="1">
      <c r="A5" s="68" t="s">
        <v>496</v>
      </c>
      <c r="B5" s="68" t="s">
        <v>497</v>
      </c>
    </row>
    <row r="6" ht="14.25" customHeight="1">
      <c r="A6" s="68" t="s">
        <v>498</v>
      </c>
      <c r="B6" s="68" t="s">
        <v>499</v>
      </c>
    </row>
    <row r="7" ht="14.25" customHeight="1">
      <c r="A7" s="68" t="s">
        <v>500</v>
      </c>
      <c r="B7" s="68" t="s">
        <v>501</v>
      </c>
    </row>
    <row r="8" ht="14.25" customHeight="1">
      <c r="A8" s="68" t="s">
        <v>502</v>
      </c>
      <c r="B8" s="68" t="s">
        <v>503</v>
      </c>
    </row>
    <row r="9" ht="14.25" customHeight="1">
      <c r="A9" s="68" t="s">
        <v>504</v>
      </c>
      <c r="B9" s="68" t="s">
        <v>505</v>
      </c>
    </row>
    <row r="10" ht="14.25" customHeight="1">
      <c r="A10" s="68" t="s">
        <v>506</v>
      </c>
      <c r="B10" s="68" t="s">
        <v>507</v>
      </c>
    </row>
    <row r="11" ht="14.25" customHeight="1">
      <c r="A11" s="68" t="s">
        <v>508</v>
      </c>
      <c r="B11" s="68" t="s">
        <v>509</v>
      </c>
    </row>
    <row r="12" ht="14.25" customHeight="1">
      <c r="A12" s="69"/>
      <c r="B12" s="69"/>
    </row>
    <row r="13" ht="14.25" customHeight="1">
      <c r="A13" s="68" t="s">
        <v>510</v>
      </c>
    </row>
    <row r="14" ht="14.25" customHeight="1">
      <c r="A14" s="68" t="s">
        <v>511</v>
      </c>
      <c r="B14" s="68" t="s">
        <v>512</v>
      </c>
    </row>
    <row r="15" ht="14.25" customHeight="1">
      <c r="A15" s="68" t="s">
        <v>513</v>
      </c>
      <c r="B15" s="68" t="s">
        <v>514</v>
      </c>
    </row>
    <row r="16" ht="14.25" customHeight="1">
      <c r="A16" s="68" t="s">
        <v>515</v>
      </c>
      <c r="B16" s="68" t="s">
        <v>516</v>
      </c>
    </row>
    <row r="17" ht="14.25" customHeight="1">
      <c r="A17" s="68" t="s">
        <v>517</v>
      </c>
      <c r="B17" s="68" t="s">
        <v>518</v>
      </c>
    </row>
    <row r="18" ht="14.25" customHeight="1">
      <c r="A18" s="69" t="s">
        <v>519</v>
      </c>
      <c r="B18" s="69" t="s">
        <v>520</v>
      </c>
    </row>
    <row r="19" ht="14.25" customHeight="1"/>
    <row r="20" ht="14.25" customHeight="1">
      <c r="A20" s="68" t="s">
        <v>521</v>
      </c>
    </row>
    <row r="21" ht="14.25" customHeight="1">
      <c r="A21" s="68" t="s">
        <v>522</v>
      </c>
      <c r="B21" s="68" t="s">
        <v>523</v>
      </c>
    </row>
    <row r="22" ht="14.25" customHeight="1">
      <c r="A22" s="68" t="s">
        <v>524</v>
      </c>
      <c r="B22" s="68" t="s">
        <v>525</v>
      </c>
    </row>
    <row r="23" ht="14.25" customHeight="1">
      <c r="A23" s="68" t="s">
        <v>526</v>
      </c>
      <c r="B23" s="68" t="s">
        <v>527</v>
      </c>
    </row>
    <row r="24" ht="14.25" customHeight="1"/>
    <row r="25" ht="14.25" customHeight="1">
      <c r="A25" s="68" t="s">
        <v>528</v>
      </c>
    </row>
    <row r="26" ht="14.25" customHeight="1">
      <c r="A26" s="68" t="s">
        <v>529</v>
      </c>
    </row>
    <row r="27" ht="14.25" customHeight="1">
      <c r="A27" s="68" t="s">
        <v>530</v>
      </c>
    </row>
    <row r="28" ht="14.25" customHeight="1">
      <c r="A28" s="68" t="s">
        <v>531</v>
      </c>
    </row>
    <row r="29" ht="14.25" customHeight="1">
      <c r="A29" s="68" t="s">
        <v>532</v>
      </c>
      <c r="B29" s="68" t="s">
        <v>533</v>
      </c>
    </row>
    <row r="30" ht="14.25" customHeight="1">
      <c r="A30" s="68" t="s">
        <v>534</v>
      </c>
      <c r="B30" s="68" t="s">
        <v>533</v>
      </c>
    </row>
    <row r="31" ht="14.25" customHeight="1"/>
    <row r="32" ht="14.25" customHeight="1">
      <c r="A32" s="68" t="s">
        <v>535</v>
      </c>
    </row>
    <row r="33" ht="14.25" customHeight="1">
      <c r="A33" s="68" t="s">
        <v>536</v>
      </c>
      <c r="B33" s="68" t="s">
        <v>537</v>
      </c>
    </row>
    <row r="34" ht="14.25" customHeight="1">
      <c r="A34" s="68" t="s">
        <v>538</v>
      </c>
      <c r="B34" s="68" t="s">
        <v>539</v>
      </c>
    </row>
    <row r="35" ht="14.25" customHeight="1">
      <c r="A35" s="68" t="s">
        <v>540</v>
      </c>
      <c r="B35" s="68" t="s">
        <v>541</v>
      </c>
    </row>
    <row r="36" ht="14.25" customHeight="1">
      <c r="A36" s="68" t="s">
        <v>542</v>
      </c>
      <c r="B36" s="68" t="s">
        <v>543</v>
      </c>
    </row>
    <row r="37" ht="14.25" customHeight="1">
      <c r="A37" s="68" t="s">
        <v>544</v>
      </c>
      <c r="B37" s="68" t="s">
        <v>545</v>
      </c>
    </row>
    <row r="38" ht="14.25" customHeight="1"/>
    <row r="39" ht="14.25" customHeight="1">
      <c r="A39" s="68" t="s">
        <v>546</v>
      </c>
    </row>
    <row r="40" ht="14.25" customHeight="1">
      <c r="A40" s="68" t="s">
        <v>547</v>
      </c>
      <c r="B40" s="68" t="s">
        <v>548</v>
      </c>
    </row>
    <row r="41" ht="14.25" customHeight="1">
      <c r="A41" s="68" t="s">
        <v>65</v>
      </c>
    </row>
    <row r="42" ht="14.25" customHeight="1">
      <c r="A42" s="68" t="s">
        <v>549</v>
      </c>
      <c r="B42" s="68" t="s">
        <v>550</v>
      </c>
    </row>
    <row r="43" ht="14.25" customHeight="1">
      <c r="A43" s="68" t="s">
        <v>551</v>
      </c>
      <c r="B43" s="68" t="s">
        <v>552</v>
      </c>
    </row>
    <row r="44" ht="14.25" customHeight="1">
      <c r="A44" s="68" t="s">
        <v>553</v>
      </c>
      <c r="B44" s="68" t="s">
        <v>554</v>
      </c>
    </row>
    <row r="45" ht="14.25" customHeight="1">
      <c r="A45" s="68" t="s">
        <v>555</v>
      </c>
      <c r="B45" s="68" t="s">
        <v>556</v>
      </c>
    </row>
    <row r="46" ht="14.25" customHeight="1"/>
    <row r="47" ht="14.25" customHeight="1">
      <c r="A47" s="68" t="s">
        <v>557</v>
      </c>
    </row>
    <row r="48" ht="14.25" customHeight="1">
      <c r="A48" s="68" t="s">
        <v>558</v>
      </c>
    </row>
    <row r="49" ht="14.25" customHeight="1">
      <c r="A49" s="68" t="s">
        <v>559</v>
      </c>
    </row>
    <row r="50" ht="14.25" customHeight="1">
      <c r="A50" s="68" t="s">
        <v>560</v>
      </c>
    </row>
    <row r="51" ht="14.25" customHeight="1">
      <c r="A51" s="68" t="s">
        <v>561</v>
      </c>
    </row>
    <row r="52" ht="14.25" customHeight="1">
      <c r="A52" s="68" t="s">
        <v>562</v>
      </c>
    </row>
    <row r="53" ht="14.25" customHeight="1">
      <c r="A53" s="68" t="s">
        <v>563</v>
      </c>
    </row>
    <row r="54" ht="14.25" customHeight="1">
      <c r="A54" s="68" t="s">
        <v>564</v>
      </c>
    </row>
    <row r="55" ht="14.25" customHeight="1"/>
    <row r="56" ht="14.25" customHeight="1">
      <c r="A56" s="68" t="s">
        <v>565</v>
      </c>
    </row>
    <row r="57" ht="14.25" customHeight="1">
      <c r="A57" s="68" t="s">
        <v>566</v>
      </c>
    </row>
    <row r="58" ht="14.25" customHeight="1">
      <c r="A58" s="68" t="s">
        <v>567</v>
      </c>
    </row>
    <row r="59" ht="14.25" customHeight="1">
      <c r="A59" s="68" t="s">
        <v>568</v>
      </c>
    </row>
    <row r="60" ht="14.25" customHeight="1">
      <c r="A60" s="68" t="s">
        <v>569</v>
      </c>
    </row>
    <row r="61" ht="14.25" customHeight="1">
      <c r="A61" s="68" t="s">
        <v>570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38"/>
    <col customWidth="1" min="2" max="14" width="16.63"/>
    <col customWidth="1" min="15" max="26" width="8.63"/>
  </cols>
  <sheetData>
    <row r="1" ht="14.25" customHeight="1">
      <c r="A1" s="66" t="s">
        <v>571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4.25" customHeight="1"/>
    <row r="3" ht="14.25" customHeight="1">
      <c r="A3" s="70" t="s">
        <v>572</v>
      </c>
      <c r="B3" s="70" t="s">
        <v>573</v>
      </c>
      <c r="C3" s="70" t="s">
        <v>574</v>
      </c>
      <c r="D3" s="70" t="s">
        <v>575</v>
      </c>
      <c r="E3" s="70" t="s">
        <v>576</v>
      </c>
      <c r="F3" s="70" t="s">
        <v>577</v>
      </c>
      <c r="G3" s="70" t="s">
        <v>578</v>
      </c>
      <c r="H3" s="70" t="s">
        <v>579</v>
      </c>
      <c r="I3" s="70" t="s">
        <v>580</v>
      </c>
      <c r="J3" s="70" t="s">
        <v>581</v>
      </c>
      <c r="K3" s="70" t="s">
        <v>582</v>
      </c>
      <c r="L3" s="70" t="s">
        <v>583</v>
      </c>
      <c r="M3" s="70" t="s">
        <v>584</v>
      </c>
      <c r="N3" s="70" t="s">
        <v>585</v>
      </c>
    </row>
    <row r="4" ht="14.25" customHeight="1">
      <c r="A4" s="68" t="s">
        <v>586</v>
      </c>
    </row>
    <row r="5" ht="14.25" customHeight="1">
      <c r="A5" s="68" t="s">
        <v>587</v>
      </c>
      <c r="B5" s="68">
        <v>500000.0</v>
      </c>
      <c r="C5" s="68">
        <f t="shared" ref="C5:M5" si="1">B5*1.08</f>
        <v>540000</v>
      </c>
      <c r="D5" s="68">
        <f t="shared" si="1"/>
        <v>583200</v>
      </c>
      <c r="E5" s="68">
        <f t="shared" si="1"/>
        <v>629856</v>
      </c>
      <c r="F5" s="68">
        <f t="shared" si="1"/>
        <v>680244.48</v>
      </c>
      <c r="G5" s="68">
        <f t="shared" si="1"/>
        <v>734664.0384</v>
      </c>
      <c r="H5" s="68">
        <f t="shared" si="1"/>
        <v>793437.1615</v>
      </c>
      <c r="I5" s="68">
        <f t="shared" si="1"/>
        <v>856912.1344</v>
      </c>
      <c r="J5" s="68">
        <f t="shared" si="1"/>
        <v>925465.1051</v>
      </c>
      <c r="K5" s="68">
        <f t="shared" si="1"/>
        <v>999502.3136</v>
      </c>
      <c r="L5" s="68">
        <f t="shared" si="1"/>
        <v>1079462.499</v>
      </c>
      <c r="M5" s="68">
        <f t="shared" si="1"/>
        <v>1165819.499</v>
      </c>
      <c r="N5" s="68">
        <f t="shared" ref="N5:N8" si="3">SUM(B5:M5)</f>
        <v>9488563.23</v>
      </c>
    </row>
    <row r="6" ht="14.25" customHeight="1">
      <c r="A6" s="68" t="s">
        <v>588</v>
      </c>
      <c r="B6" s="68">
        <v>300000.0</v>
      </c>
      <c r="C6" s="68">
        <f t="shared" ref="C6:M6" si="2">B6*1.1</f>
        <v>330000</v>
      </c>
      <c r="D6" s="68">
        <f t="shared" si="2"/>
        <v>363000</v>
      </c>
      <c r="E6" s="68">
        <f t="shared" si="2"/>
        <v>399300</v>
      </c>
      <c r="F6" s="68">
        <f t="shared" si="2"/>
        <v>439230</v>
      </c>
      <c r="G6" s="68">
        <f t="shared" si="2"/>
        <v>483153</v>
      </c>
      <c r="H6" s="68">
        <f t="shared" si="2"/>
        <v>531468.3</v>
      </c>
      <c r="I6" s="68">
        <f t="shared" si="2"/>
        <v>584615.13</v>
      </c>
      <c r="J6" s="68">
        <f t="shared" si="2"/>
        <v>643076.643</v>
      </c>
      <c r="K6" s="68">
        <f t="shared" si="2"/>
        <v>707384.3073</v>
      </c>
      <c r="L6" s="68">
        <f t="shared" si="2"/>
        <v>778122.738</v>
      </c>
      <c r="M6" s="68">
        <f t="shared" si="2"/>
        <v>855935.0118</v>
      </c>
      <c r="N6" s="68">
        <f t="shared" si="3"/>
        <v>6415285.13</v>
      </c>
    </row>
    <row r="7" ht="14.25" customHeight="1">
      <c r="A7" s="68" t="s">
        <v>589</v>
      </c>
      <c r="B7" s="68">
        <v>15000.0</v>
      </c>
      <c r="C7" s="68">
        <v>18000.0</v>
      </c>
      <c r="D7" s="68">
        <v>20000.0</v>
      </c>
      <c r="E7" s="68">
        <v>22000.0</v>
      </c>
      <c r="F7" s="68">
        <v>25000.0</v>
      </c>
      <c r="G7" s="68">
        <v>28000.0</v>
      </c>
      <c r="H7" s="68">
        <v>30000.0</v>
      </c>
      <c r="I7" s="68">
        <v>32000.0</v>
      </c>
      <c r="J7" s="68">
        <v>35000.0</v>
      </c>
      <c r="K7" s="68">
        <v>38000.0</v>
      </c>
      <c r="L7" s="68">
        <v>40000.0</v>
      </c>
      <c r="M7" s="68">
        <v>45000.0</v>
      </c>
      <c r="N7" s="68">
        <f t="shared" si="3"/>
        <v>348000</v>
      </c>
    </row>
    <row r="8" ht="14.25" customHeight="1">
      <c r="A8" s="68" t="s">
        <v>590</v>
      </c>
      <c r="B8" s="68">
        <f t="shared" ref="B8:M8" si="4">SUM(B5:B7)</f>
        <v>815000</v>
      </c>
      <c r="C8" s="68">
        <f t="shared" si="4"/>
        <v>888000</v>
      </c>
      <c r="D8" s="68">
        <f t="shared" si="4"/>
        <v>966200</v>
      </c>
      <c r="E8" s="68">
        <f t="shared" si="4"/>
        <v>1051156</v>
      </c>
      <c r="F8" s="68">
        <f t="shared" si="4"/>
        <v>1144474.48</v>
      </c>
      <c r="G8" s="68">
        <f t="shared" si="4"/>
        <v>1245817.038</v>
      </c>
      <c r="H8" s="68">
        <f t="shared" si="4"/>
        <v>1354905.461</v>
      </c>
      <c r="I8" s="68">
        <f t="shared" si="4"/>
        <v>1473527.264</v>
      </c>
      <c r="J8" s="68">
        <f t="shared" si="4"/>
        <v>1603541.748</v>
      </c>
      <c r="K8" s="68">
        <f t="shared" si="4"/>
        <v>1744886.621</v>
      </c>
      <c r="L8" s="68">
        <f t="shared" si="4"/>
        <v>1897585.237</v>
      </c>
      <c r="M8" s="68">
        <f t="shared" si="4"/>
        <v>2066754.51</v>
      </c>
      <c r="N8" s="68">
        <f t="shared" si="3"/>
        <v>16251848.36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2026-07-01T14:39:46Z</dcterms:created>
  <dc:creator>Abbas Dhuliawala</dc:creator>
</cp:coreProperties>
</file>